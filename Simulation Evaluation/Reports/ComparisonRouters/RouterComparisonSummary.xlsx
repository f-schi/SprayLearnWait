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chi\Documents\BachelorArbeit\"/>
    </mc:Choice>
  </mc:AlternateContent>
  <xr:revisionPtr revIDLastSave="0" documentId="8_{0736746F-A491-4903-8C52-D4F34E20FCB8}" xr6:coauthVersionLast="47" xr6:coauthVersionMax="47" xr10:uidLastSave="{00000000-0000-0000-0000-000000000000}"/>
  <bookViews>
    <workbookView xWindow="7860" yWindow="-16320" windowWidth="29040" windowHeight="15990" activeTab="3" xr2:uid="{E0CB1264-84D5-4494-8441-0AB51F97B467}"/>
  </bookViews>
  <sheets>
    <sheet name="Seed1" sheetId="1" r:id="rId1"/>
    <sheet name="Seed2" sheetId="2" r:id="rId2"/>
    <sheet name="Seed3" sheetId="3" r:id="rId3"/>
    <sheet name="RouterComparisonAverag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17" i="3"/>
  <c r="I2" i="3"/>
  <c r="K21" i="4"/>
  <c r="J2" i="4"/>
  <c r="F2" i="4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K36" i="4" s="1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G18" i="4" s="1"/>
  <c r="I16" i="3"/>
  <c r="I15" i="3"/>
  <c r="I14" i="3"/>
  <c r="I13" i="3"/>
  <c r="I12" i="3"/>
  <c r="I11" i="3"/>
  <c r="I10" i="3"/>
  <c r="I9" i="3"/>
  <c r="I8" i="3"/>
  <c r="I7" i="3"/>
  <c r="I6" i="3"/>
  <c r="I5" i="3"/>
  <c r="I4" i="3"/>
  <c r="K4" i="4" s="1"/>
  <c r="I3" i="3"/>
  <c r="I3" i="2"/>
  <c r="I4" i="2"/>
  <c r="I5" i="2"/>
  <c r="I6" i="2"/>
  <c r="I7" i="2"/>
  <c r="I8" i="2"/>
  <c r="I9" i="2"/>
  <c r="I10" i="2"/>
  <c r="K10" i="4" s="1"/>
  <c r="I11" i="2"/>
  <c r="I12" i="2"/>
  <c r="K12" i="4" s="1"/>
  <c r="I13" i="2"/>
  <c r="I14" i="2"/>
  <c r="K14" i="4" s="1"/>
  <c r="I15" i="2"/>
  <c r="I16" i="2"/>
  <c r="K16" i="4" s="1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2" i="2"/>
  <c r="I3" i="1"/>
  <c r="I4" i="1"/>
  <c r="G4" i="4" s="1"/>
  <c r="I5" i="1"/>
  <c r="G5" i="4" s="1"/>
  <c r="I6" i="1"/>
  <c r="K6" i="4" s="1"/>
  <c r="I7" i="1"/>
  <c r="I8" i="1"/>
  <c r="G8" i="4" s="1"/>
  <c r="I9" i="1"/>
  <c r="G9" i="4" s="1"/>
  <c r="I10" i="1"/>
  <c r="G10" i="4" s="1"/>
  <c r="I11" i="1"/>
  <c r="I12" i="1"/>
  <c r="G12" i="4" s="1"/>
  <c r="I13" i="1"/>
  <c r="G13" i="4" s="1"/>
  <c r="I14" i="1"/>
  <c r="G14" i="4" s="1"/>
  <c r="I15" i="1"/>
  <c r="I16" i="1"/>
  <c r="G16" i="4" s="1"/>
  <c r="I17" i="1"/>
  <c r="K17" i="4" s="1"/>
  <c r="I18" i="1"/>
  <c r="I19" i="1"/>
  <c r="K19" i="4" s="1"/>
  <c r="I20" i="1"/>
  <c r="I21" i="1"/>
  <c r="G21" i="4" s="1"/>
  <c r="I22" i="1"/>
  <c r="I23" i="1"/>
  <c r="G23" i="4" s="1"/>
  <c r="I24" i="1"/>
  <c r="I25" i="1"/>
  <c r="G25" i="4" s="1"/>
  <c r="I26" i="1"/>
  <c r="I27" i="1"/>
  <c r="K27" i="4" s="1"/>
  <c r="I29" i="1"/>
  <c r="K29" i="4" s="1"/>
  <c r="I30" i="1"/>
  <c r="I31" i="1"/>
  <c r="I32" i="1"/>
  <c r="I33" i="1"/>
  <c r="I34" i="1"/>
  <c r="I35" i="1"/>
  <c r="G35" i="4" s="1"/>
  <c r="I36" i="1"/>
  <c r="I37" i="1"/>
  <c r="I38" i="1"/>
  <c r="I39" i="1"/>
  <c r="K39" i="4" s="1"/>
  <c r="I40" i="1"/>
  <c r="I41" i="1"/>
  <c r="I42" i="1"/>
  <c r="I43" i="1"/>
  <c r="K43" i="4" s="1"/>
  <c r="I44" i="1"/>
  <c r="I45" i="1"/>
  <c r="I46" i="1"/>
  <c r="I47" i="1"/>
  <c r="K47" i="4" s="1"/>
  <c r="I48" i="1"/>
  <c r="I49" i="1"/>
  <c r="I50" i="1"/>
  <c r="I51" i="1"/>
  <c r="G51" i="4" s="1"/>
  <c r="I52" i="1"/>
  <c r="I53" i="1"/>
  <c r="I54" i="1"/>
  <c r="I55" i="1"/>
  <c r="K55" i="4" s="1"/>
  <c r="I56" i="1"/>
  <c r="I57" i="1"/>
  <c r="I58" i="1"/>
  <c r="I59" i="1"/>
  <c r="G59" i="4" s="1"/>
  <c r="I60" i="1"/>
  <c r="I61" i="1"/>
  <c r="I2" i="1"/>
  <c r="H3" i="4"/>
  <c r="I3" i="4"/>
  <c r="J3" i="4"/>
  <c r="H4" i="4"/>
  <c r="I4" i="4"/>
  <c r="J4" i="4"/>
  <c r="H5" i="4"/>
  <c r="I5" i="4"/>
  <c r="J5" i="4"/>
  <c r="H6" i="4"/>
  <c r="I6" i="4"/>
  <c r="J6" i="4"/>
  <c r="H7" i="4"/>
  <c r="I7" i="4"/>
  <c r="J7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5" i="4"/>
  <c r="I15" i="4"/>
  <c r="J15" i="4"/>
  <c r="H16" i="4"/>
  <c r="I16" i="4"/>
  <c r="J16" i="4"/>
  <c r="H17" i="4"/>
  <c r="I17" i="4"/>
  <c r="J17" i="4"/>
  <c r="H18" i="4"/>
  <c r="I18" i="4"/>
  <c r="J18" i="4"/>
  <c r="H19" i="4"/>
  <c r="I19" i="4"/>
  <c r="J19" i="4"/>
  <c r="H20" i="4"/>
  <c r="I20" i="4"/>
  <c r="J20" i="4"/>
  <c r="H21" i="4"/>
  <c r="I21" i="4"/>
  <c r="J21" i="4"/>
  <c r="H22" i="4"/>
  <c r="I22" i="4"/>
  <c r="J22" i="4"/>
  <c r="H23" i="4"/>
  <c r="I23" i="4"/>
  <c r="J23" i="4"/>
  <c r="H24" i="4"/>
  <c r="I24" i="4"/>
  <c r="J24" i="4"/>
  <c r="H25" i="4"/>
  <c r="I25" i="4"/>
  <c r="J25" i="4"/>
  <c r="H26" i="4"/>
  <c r="I26" i="4"/>
  <c r="J26" i="4"/>
  <c r="H27" i="4"/>
  <c r="I27" i="4"/>
  <c r="J27" i="4"/>
  <c r="H28" i="4"/>
  <c r="I28" i="4"/>
  <c r="J28" i="4"/>
  <c r="H29" i="4"/>
  <c r="I29" i="4"/>
  <c r="J29" i="4"/>
  <c r="H30" i="4"/>
  <c r="I30" i="4"/>
  <c r="J30" i="4"/>
  <c r="H31" i="4"/>
  <c r="I31" i="4"/>
  <c r="J31" i="4"/>
  <c r="H32" i="4"/>
  <c r="I32" i="4"/>
  <c r="J32" i="4"/>
  <c r="H33" i="4"/>
  <c r="I33" i="4"/>
  <c r="J33" i="4"/>
  <c r="H34" i="4"/>
  <c r="I34" i="4"/>
  <c r="J34" i="4"/>
  <c r="H35" i="4"/>
  <c r="I35" i="4"/>
  <c r="J35" i="4"/>
  <c r="H36" i="4"/>
  <c r="I36" i="4"/>
  <c r="J36" i="4"/>
  <c r="H37" i="4"/>
  <c r="I37" i="4"/>
  <c r="J37" i="4"/>
  <c r="H38" i="4"/>
  <c r="I38" i="4"/>
  <c r="J38" i="4"/>
  <c r="H39" i="4"/>
  <c r="I39" i="4"/>
  <c r="J39" i="4"/>
  <c r="H40" i="4"/>
  <c r="I40" i="4"/>
  <c r="J40" i="4"/>
  <c r="H41" i="4"/>
  <c r="I41" i="4"/>
  <c r="J41" i="4"/>
  <c r="H42" i="4"/>
  <c r="I42" i="4"/>
  <c r="J42" i="4"/>
  <c r="H43" i="4"/>
  <c r="I43" i="4"/>
  <c r="J43" i="4"/>
  <c r="H44" i="4"/>
  <c r="I44" i="4"/>
  <c r="J44" i="4"/>
  <c r="H45" i="4"/>
  <c r="I45" i="4"/>
  <c r="J45" i="4"/>
  <c r="H46" i="4"/>
  <c r="I46" i="4"/>
  <c r="J46" i="4"/>
  <c r="H47" i="4"/>
  <c r="I47" i="4"/>
  <c r="J47" i="4"/>
  <c r="H48" i="4"/>
  <c r="I48" i="4"/>
  <c r="J48" i="4"/>
  <c r="H49" i="4"/>
  <c r="I49" i="4"/>
  <c r="J49" i="4"/>
  <c r="H50" i="4"/>
  <c r="I50" i="4"/>
  <c r="J50" i="4"/>
  <c r="H51" i="4"/>
  <c r="I51" i="4"/>
  <c r="J51" i="4"/>
  <c r="H52" i="4"/>
  <c r="I52" i="4"/>
  <c r="J52" i="4"/>
  <c r="H53" i="4"/>
  <c r="I53" i="4"/>
  <c r="J53" i="4"/>
  <c r="H54" i="4"/>
  <c r="I54" i="4"/>
  <c r="J54" i="4"/>
  <c r="H55" i="4"/>
  <c r="I55" i="4"/>
  <c r="J55" i="4"/>
  <c r="H56" i="4"/>
  <c r="I56" i="4"/>
  <c r="J56" i="4"/>
  <c r="H57" i="4"/>
  <c r="I57" i="4"/>
  <c r="J57" i="4"/>
  <c r="H58" i="4"/>
  <c r="I58" i="4"/>
  <c r="J58" i="4"/>
  <c r="H59" i="4"/>
  <c r="I59" i="4"/>
  <c r="J59" i="4"/>
  <c r="H60" i="4"/>
  <c r="I60" i="4"/>
  <c r="J60" i="4"/>
  <c r="H61" i="4"/>
  <c r="I61" i="4"/>
  <c r="J61" i="4"/>
  <c r="I2" i="4"/>
  <c r="H2" i="4"/>
  <c r="D3" i="4"/>
  <c r="E3" i="4"/>
  <c r="F3" i="4"/>
  <c r="D4" i="4"/>
  <c r="E4" i="4"/>
  <c r="F4" i="4"/>
  <c r="D5" i="4"/>
  <c r="E5" i="4"/>
  <c r="F5" i="4"/>
  <c r="D6" i="4"/>
  <c r="E6" i="4"/>
  <c r="F6" i="4"/>
  <c r="D7" i="4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D17" i="4"/>
  <c r="E17" i="4"/>
  <c r="F17" i="4"/>
  <c r="D18" i="4"/>
  <c r="E18" i="4"/>
  <c r="F18" i="4"/>
  <c r="D19" i="4"/>
  <c r="E19" i="4"/>
  <c r="F19" i="4"/>
  <c r="D20" i="4"/>
  <c r="E20" i="4"/>
  <c r="F20" i="4"/>
  <c r="D21" i="4"/>
  <c r="E21" i="4"/>
  <c r="F21" i="4"/>
  <c r="D22" i="4"/>
  <c r="E22" i="4"/>
  <c r="F22" i="4"/>
  <c r="D23" i="4"/>
  <c r="E23" i="4"/>
  <c r="F23" i="4"/>
  <c r="D24" i="4"/>
  <c r="E24" i="4"/>
  <c r="F24" i="4"/>
  <c r="D25" i="4"/>
  <c r="E25" i="4"/>
  <c r="F25" i="4"/>
  <c r="D26" i="4"/>
  <c r="E26" i="4"/>
  <c r="F26" i="4"/>
  <c r="D27" i="4"/>
  <c r="E27" i="4"/>
  <c r="F27" i="4"/>
  <c r="D28" i="4"/>
  <c r="E28" i="4"/>
  <c r="F28" i="4"/>
  <c r="D29" i="4"/>
  <c r="E29" i="4"/>
  <c r="F29" i="4"/>
  <c r="D30" i="4"/>
  <c r="E30" i="4"/>
  <c r="F30" i="4"/>
  <c r="D31" i="4"/>
  <c r="E31" i="4"/>
  <c r="F31" i="4"/>
  <c r="D32" i="4"/>
  <c r="E32" i="4"/>
  <c r="F32" i="4"/>
  <c r="D33" i="4"/>
  <c r="E33" i="4"/>
  <c r="F33" i="4"/>
  <c r="D34" i="4"/>
  <c r="E34" i="4"/>
  <c r="F34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D41" i="4"/>
  <c r="E41" i="4"/>
  <c r="F41" i="4"/>
  <c r="D42" i="4"/>
  <c r="E42" i="4"/>
  <c r="F42" i="4"/>
  <c r="D43" i="4"/>
  <c r="E43" i="4"/>
  <c r="F43" i="4"/>
  <c r="D44" i="4"/>
  <c r="E44" i="4"/>
  <c r="F44" i="4"/>
  <c r="D45" i="4"/>
  <c r="E45" i="4"/>
  <c r="F45" i="4"/>
  <c r="D46" i="4"/>
  <c r="E46" i="4"/>
  <c r="F46" i="4"/>
  <c r="D47" i="4"/>
  <c r="E47" i="4"/>
  <c r="F47" i="4"/>
  <c r="D48" i="4"/>
  <c r="E48" i="4"/>
  <c r="F48" i="4"/>
  <c r="D49" i="4"/>
  <c r="E49" i="4"/>
  <c r="F49" i="4"/>
  <c r="D50" i="4"/>
  <c r="E50" i="4"/>
  <c r="F50" i="4"/>
  <c r="D51" i="4"/>
  <c r="E51" i="4"/>
  <c r="F51" i="4"/>
  <c r="D52" i="4"/>
  <c r="E52" i="4"/>
  <c r="F52" i="4"/>
  <c r="D53" i="4"/>
  <c r="E53" i="4"/>
  <c r="F53" i="4"/>
  <c r="D54" i="4"/>
  <c r="E54" i="4"/>
  <c r="F54" i="4"/>
  <c r="D55" i="4"/>
  <c r="E55" i="4"/>
  <c r="F55" i="4"/>
  <c r="D56" i="4"/>
  <c r="E56" i="4"/>
  <c r="F56" i="4"/>
  <c r="D57" i="4"/>
  <c r="E57" i="4"/>
  <c r="F57" i="4"/>
  <c r="D58" i="4"/>
  <c r="E58" i="4"/>
  <c r="F58" i="4"/>
  <c r="D59" i="4"/>
  <c r="E59" i="4"/>
  <c r="F59" i="4"/>
  <c r="D60" i="4"/>
  <c r="E60" i="4"/>
  <c r="F60" i="4"/>
  <c r="D61" i="4"/>
  <c r="E61" i="4"/>
  <c r="F61" i="4"/>
  <c r="E2" i="4"/>
  <c r="D2" i="4"/>
  <c r="K61" i="4" l="1"/>
  <c r="G57" i="4"/>
  <c r="K53" i="4"/>
  <c r="K49" i="4"/>
  <c r="G61" i="4"/>
  <c r="K60" i="4"/>
  <c r="K59" i="4"/>
  <c r="G58" i="4"/>
  <c r="K57" i="4"/>
  <c r="K56" i="4"/>
  <c r="G55" i="4"/>
  <c r="G54" i="4"/>
  <c r="G53" i="4"/>
  <c r="K52" i="4"/>
  <c r="K51" i="4"/>
  <c r="G50" i="4"/>
  <c r="G49" i="4"/>
  <c r="K48" i="4"/>
  <c r="G47" i="4"/>
  <c r="G45" i="4"/>
  <c r="G41" i="4"/>
  <c r="K37" i="4"/>
  <c r="K33" i="4"/>
  <c r="G46" i="4"/>
  <c r="K45" i="4"/>
  <c r="K44" i="4"/>
  <c r="G43" i="4"/>
  <c r="G42" i="4"/>
  <c r="K41" i="4"/>
  <c r="K40" i="4"/>
  <c r="G39" i="4"/>
  <c r="G38" i="4"/>
  <c r="G37" i="4"/>
  <c r="K35" i="4"/>
  <c r="G34" i="4"/>
  <c r="G33" i="4"/>
  <c r="K32" i="4"/>
  <c r="K31" i="4"/>
  <c r="K20" i="4"/>
  <c r="G31" i="4"/>
  <c r="G30" i="4"/>
  <c r="G29" i="4"/>
  <c r="K28" i="4"/>
  <c r="G27" i="4"/>
  <c r="G26" i="4"/>
  <c r="K25" i="4"/>
  <c r="K24" i="4"/>
  <c r="K23" i="4"/>
  <c r="G22" i="4"/>
  <c r="G19" i="4"/>
  <c r="G17" i="4"/>
  <c r="K13" i="4"/>
  <c r="K9" i="4"/>
  <c r="K58" i="4"/>
  <c r="K54" i="4"/>
  <c r="K50" i="4"/>
  <c r="K46" i="4"/>
  <c r="K42" i="4"/>
  <c r="K38" i="4"/>
  <c r="K34" i="4"/>
  <c r="K30" i="4"/>
  <c r="K26" i="4"/>
  <c r="K22" i="4"/>
  <c r="K18" i="4"/>
  <c r="G60" i="4"/>
  <c r="G56" i="4"/>
  <c r="G52" i="4"/>
  <c r="G48" i="4"/>
  <c r="G44" i="4"/>
  <c r="G40" i="4"/>
  <c r="G36" i="4"/>
  <c r="G32" i="4"/>
  <c r="G28" i="4"/>
  <c r="G24" i="4"/>
  <c r="G20" i="4"/>
  <c r="G2" i="4"/>
  <c r="K2" i="4"/>
  <c r="K15" i="4"/>
  <c r="K11" i="4"/>
  <c r="G11" i="4"/>
  <c r="G7" i="4"/>
  <c r="K3" i="4"/>
  <c r="G3" i="4"/>
  <c r="G15" i="4"/>
  <c r="K8" i="4"/>
  <c r="K7" i="4"/>
  <c r="K5" i="4"/>
  <c r="G6" i="4"/>
</calcChain>
</file>

<file path=xl/sharedStrings.xml><?xml version="1.0" encoding="utf-8"?>
<sst xmlns="http://schemas.openxmlformats.org/spreadsheetml/2006/main" count="338" uniqueCount="24">
  <si>
    <t>Router</t>
  </si>
  <si>
    <t>NoHosts</t>
  </si>
  <si>
    <t>SimTime</t>
  </si>
  <si>
    <t>Epidemic</t>
  </si>
  <si>
    <t>delivery_prob</t>
  </si>
  <si>
    <t>overhead_ratio</t>
  </si>
  <si>
    <t>latency_avg</t>
  </si>
  <si>
    <t>FirstContact</t>
  </si>
  <si>
    <t>Prophet</t>
  </si>
  <si>
    <t>SprayLearnWait</t>
  </si>
  <si>
    <t>0.5 days</t>
  </si>
  <si>
    <t>1 day</t>
  </si>
  <si>
    <t>2 days</t>
  </si>
  <si>
    <t>delivery_prob.sd</t>
  </si>
  <si>
    <t>latency_avg.mean</t>
  </si>
  <si>
    <t>overhead_ratio.mean</t>
  </si>
  <si>
    <t>delivery_prob.mean</t>
  </si>
  <si>
    <t>overhead_ratio.sd</t>
  </si>
  <si>
    <t>latency_avg.sd</t>
  </si>
  <si>
    <t>dropped_removed_messages.mean</t>
  </si>
  <si>
    <t>dropped_messages</t>
  </si>
  <si>
    <t>removed_messages</t>
  </si>
  <si>
    <t>dropped_removed_messages</t>
  </si>
  <si>
    <t>dropped_removed_messages.sd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</si>
</sst>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4EA5-C0CD-4FD2-99FE-103D6B693118}">
  <dimension ref="A1:I61"/>
  <sheetViews>
    <sheetView topLeftCell="D1" workbookViewId="0">
      <selection activeCell="H61" sqref="H61"/>
    </sheetView>
  </sheetViews>
  <sheetFormatPr defaultRowHeight="14.25" x14ac:dyDescent="0.45"/>
  <cols>
    <col min="1" max="1" width="18.1328125" customWidth="1"/>
    <col min="2" max="2" width="12.796875" customWidth="1"/>
    <col min="3" max="3" width="14.6640625" customWidth="1"/>
    <col min="4" max="4" width="15.06640625" customWidth="1"/>
    <col min="5" max="5" width="14.9296875" customWidth="1"/>
    <col min="6" max="6" width="16.796875" customWidth="1"/>
    <col min="7" max="7" width="19.86328125" customWidth="1"/>
    <col min="8" max="8" width="17.1328125" customWidth="1"/>
    <col min="9" max="9" width="26.0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20</v>
      </c>
      <c r="H1" t="s">
        <v>21</v>
      </c>
      <c r="I1" t="s">
        <v>22</v>
      </c>
    </row>
    <row r="2" spans="1:9" x14ac:dyDescent="0.45">
      <c r="A2" t="s">
        <v>3</v>
      </c>
      <c r="B2">
        <v>36</v>
      </c>
      <c r="C2">
        <v>43200</v>
      </c>
      <c r="D2">
        <v>0.30609999999999998</v>
      </c>
      <c r="E2">
        <v>412.12470000000002</v>
      </c>
      <c r="F2">
        <v>1053.2817</v>
      </c>
      <c r="G2">
        <v>185908</v>
      </c>
      <c r="H2">
        <v>0</v>
      </c>
      <c r="I2">
        <f>G2+H2</f>
        <v>185908</v>
      </c>
    </row>
    <row r="3" spans="1:9" x14ac:dyDescent="0.45">
      <c r="A3" t="s">
        <v>3</v>
      </c>
      <c r="B3">
        <v>66</v>
      </c>
      <c r="C3">
        <v>43200</v>
      </c>
      <c r="D3">
        <v>0.25259999999999999</v>
      </c>
      <c r="E3">
        <v>579.63139999999999</v>
      </c>
      <c r="F3">
        <v>1155.9558</v>
      </c>
      <c r="G3">
        <v>214519</v>
      </c>
      <c r="H3">
        <v>0</v>
      </c>
      <c r="I3">
        <f t="shared" ref="I3:I61" si="0">G3+H3</f>
        <v>214519</v>
      </c>
    </row>
    <row r="4" spans="1:9" x14ac:dyDescent="0.45">
      <c r="A4" t="s">
        <v>3</v>
      </c>
      <c r="B4">
        <v>96</v>
      </c>
      <c r="C4">
        <v>43200</v>
      </c>
      <c r="D4">
        <v>0.23330000000000001</v>
      </c>
      <c r="E4">
        <v>801.76319999999998</v>
      </c>
      <c r="F4">
        <v>1127.2164</v>
      </c>
      <c r="G4">
        <v>274678</v>
      </c>
      <c r="H4">
        <v>0</v>
      </c>
      <c r="I4">
        <f t="shared" si="0"/>
        <v>274678</v>
      </c>
    </row>
    <row r="5" spans="1:9" x14ac:dyDescent="0.45">
      <c r="A5" t="s">
        <v>3</v>
      </c>
      <c r="B5">
        <v>126</v>
      </c>
      <c r="C5">
        <v>43200</v>
      </c>
      <c r="D5">
        <v>0.218</v>
      </c>
      <c r="E5">
        <v>1101.2538999999999</v>
      </c>
      <c r="F5">
        <v>1208.7533000000001</v>
      </c>
      <c r="G5">
        <v>351586</v>
      </c>
      <c r="H5">
        <v>0</v>
      </c>
      <c r="I5">
        <f t="shared" si="0"/>
        <v>351586</v>
      </c>
    </row>
    <row r="6" spans="1:9" x14ac:dyDescent="0.45">
      <c r="A6" t="s">
        <v>3</v>
      </c>
      <c r="B6">
        <v>156</v>
      </c>
      <c r="C6">
        <v>43200</v>
      </c>
      <c r="D6">
        <v>0.2019</v>
      </c>
      <c r="E6">
        <v>1528.7973</v>
      </c>
      <c r="F6">
        <v>1147.1784</v>
      </c>
      <c r="G6">
        <v>452603</v>
      </c>
      <c r="H6">
        <v>0</v>
      </c>
      <c r="I6">
        <f t="shared" si="0"/>
        <v>452603</v>
      </c>
    </row>
    <row r="7" spans="1:9" x14ac:dyDescent="0.45">
      <c r="A7" t="s">
        <v>3</v>
      </c>
      <c r="B7">
        <v>36</v>
      </c>
      <c r="C7">
        <v>86400</v>
      </c>
      <c r="D7">
        <v>0.30380000000000001</v>
      </c>
      <c r="E7">
        <v>464.19439999999997</v>
      </c>
      <c r="F7">
        <v>1117.8610000000001</v>
      </c>
      <c r="G7">
        <v>415458</v>
      </c>
      <c r="H7">
        <v>0</v>
      </c>
      <c r="I7">
        <f t="shared" si="0"/>
        <v>415458</v>
      </c>
    </row>
    <row r="8" spans="1:9" x14ac:dyDescent="0.45">
      <c r="A8" t="s">
        <v>3</v>
      </c>
      <c r="B8">
        <v>66</v>
      </c>
      <c r="C8">
        <v>86400</v>
      </c>
      <c r="D8">
        <v>0.24590000000000001</v>
      </c>
      <c r="E8">
        <v>665.87919999999997</v>
      </c>
      <c r="F8">
        <v>1210.9621999999999</v>
      </c>
      <c r="G8">
        <v>481559</v>
      </c>
      <c r="H8">
        <v>0</v>
      </c>
      <c r="I8">
        <f t="shared" si="0"/>
        <v>481559</v>
      </c>
    </row>
    <row r="9" spans="1:9" x14ac:dyDescent="0.45">
      <c r="A9" t="s">
        <v>3</v>
      </c>
      <c r="B9">
        <v>96</v>
      </c>
      <c r="C9">
        <v>86400</v>
      </c>
      <c r="D9">
        <v>0.22689999999999999</v>
      </c>
      <c r="E9">
        <v>885.09320000000002</v>
      </c>
      <c r="F9">
        <v>1241.2669000000001</v>
      </c>
      <c r="G9">
        <v>590504</v>
      </c>
      <c r="H9">
        <v>0</v>
      </c>
      <c r="I9">
        <f t="shared" si="0"/>
        <v>590504</v>
      </c>
    </row>
    <row r="10" spans="1:9" x14ac:dyDescent="0.45">
      <c r="A10" t="s">
        <v>3</v>
      </c>
      <c r="B10">
        <v>126</v>
      </c>
      <c r="C10">
        <v>86400</v>
      </c>
      <c r="D10">
        <v>0.2147</v>
      </c>
      <c r="E10">
        <v>1160.4809</v>
      </c>
      <c r="F10">
        <v>1160.9672</v>
      </c>
      <c r="G10">
        <v>730534</v>
      </c>
      <c r="H10">
        <v>0</v>
      </c>
      <c r="I10">
        <f t="shared" si="0"/>
        <v>730534</v>
      </c>
    </row>
    <row r="11" spans="1:9" x14ac:dyDescent="0.45">
      <c r="A11" t="s">
        <v>3</v>
      </c>
      <c r="B11">
        <v>156</v>
      </c>
      <c r="C11">
        <v>86400</v>
      </c>
      <c r="D11">
        <v>0.1993</v>
      </c>
      <c r="E11">
        <v>1551.6935000000001</v>
      </c>
      <c r="F11">
        <v>1213.0824</v>
      </c>
      <c r="G11">
        <v>907705</v>
      </c>
      <c r="H11">
        <v>0</v>
      </c>
      <c r="I11">
        <f t="shared" si="0"/>
        <v>907705</v>
      </c>
    </row>
    <row r="12" spans="1:9" x14ac:dyDescent="0.45">
      <c r="A12" t="s">
        <v>3</v>
      </c>
      <c r="B12">
        <v>36</v>
      </c>
      <c r="C12">
        <v>172800</v>
      </c>
      <c r="D12">
        <v>0.29970000000000002</v>
      </c>
      <c r="E12">
        <v>486.428</v>
      </c>
      <c r="F12">
        <v>1220.3173999999999</v>
      </c>
      <c r="G12">
        <v>859921</v>
      </c>
      <c r="H12">
        <v>0</v>
      </c>
      <c r="I12">
        <f t="shared" si="0"/>
        <v>859921</v>
      </c>
    </row>
    <row r="13" spans="1:9" x14ac:dyDescent="0.45">
      <c r="A13" t="s">
        <v>3</v>
      </c>
      <c r="B13">
        <v>66</v>
      </c>
      <c r="C13">
        <v>172800</v>
      </c>
      <c r="D13">
        <v>0.2485</v>
      </c>
      <c r="E13">
        <v>690.25689999999997</v>
      </c>
      <c r="F13">
        <v>1298.9881</v>
      </c>
      <c r="G13">
        <v>1010058</v>
      </c>
      <c r="H13">
        <v>0</v>
      </c>
      <c r="I13">
        <f t="shared" si="0"/>
        <v>1010058</v>
      </c>
    </row>
    <row r="14" spans="1:9" x14ac:dyDescent="0.45">
      <c r="A14" t="s">
        <v>3</v>
      </c>
      <c r="B14">
        <v>96</v>
      </c>
      <c r="C14">
        <v>172800</v>
      </c>
      <c r="D14">
        <v>0.22570000000000001</v>
      </c>
      <c r="E14">
        <v>922.31439999999998</v>
      </c>
      <c r="F14">
        <v>1277.8592000000001</v>
      </c>
      <c r="G14">
        <v>1222300</v>
      </c>
      <c r="H14">
        <v>0</v>
      </c>
      <c r="I14">
        <f t="shared" si="0"/>
        <v>1222300</v>
      </c>
    </row>
    <row r="15" spans="1:9" x14ac:dyDescent="0.45">
      <c r="A15" t="s">
        <v>3</v>
      </c>
      <c r="B15">
        <v>126</v>
      </c>
      <c r="C15">
        <v>172800</v>
      </c>
      <c r="D15">
        <v>0.2082</v>
      </c>
      <c r="E15">
        <v>1202.8900000000001</v>
      </c>
      <c r="F15">
        <v>1224.0677000000001</v>
      </c>
      <c r="G15">
        <v>1469748</v>
      </c>
      <c r="H15">
        <v>0</v>
      </c>
      <c r="I15">
        <f t="shared" si="0"/>
        <v>1469748</v>
      </c>
    </row>
    <row r="16" spans="1:9" x14ac:dyDescent="0.45">
      <c r="A16" t="s">
        <v>3</v>
      </c>
      <c r="B16">
        <v>156</v>
      </c>
      <c r="C16">
        <v>172800</v>
      </c>
      <c r="D16">
        <v>0.19420000000000001</v>
      </c>
      <c r="E16">
        <v>1625.0727999999999</v>
      </c>
      <c r="F16">
        <v>1225.5461</v>
      </c>
      <c r="G16">
        <v>1857018</v>
      </c>
      <c r="H16">
        <v>0</v>
      </c>
      <c r="I16">
        <f t="shared" si="0"/>
        <v>1857018</v>
      </c>
    </row>
    <row r="17" spans="1:9" x14ac:dyDescent="0.45">
      <c r="A17" t="s">
        <v>7</v>
      </c>
      <c r="B17">
        <v>36</v>
      </c>
      <c r="C17">
        <v>43200</v>
      </c>
      <c r="D17">
        <v>0.41170000000000001</v>
      </c>
      <c r="E17">
        <v>21.412299999999998</v>
      </c>
      <c r="F17">
        <v>1343.5896</v>
      </c>
      <c r="G17">
        <v>789</v>
      </c>
      <c r="H17">
        <v>13537</v>
      </c>
      <c r="I17">
        <f t="shared" si="0"/>
        <v>14326</v>
      </c>
    </row>
    <row r="18" spans="1:9" x14ac:dyDescent="0.45">
      <c r="A18" t="s">
        <v>7</v>
      </c>
      <c r="B18">
        <v>66</v>
      </c>
      <c r="C18">
        <v>43200</v>
      </c>
      <c r="D18">
        <v>0.39839999999999998</v>
      </c>
      <c r="E18">
        <v>45.018900000000002</v>
      </c>
      <c r="F18">
        <v>2014.4614999999999</v>
      </c>
      <c r="G18">
        <v>788</v>
      </c>
      <c r="H18">
        <v>26783</v>
      </c>
      <c r="I18">
        <f t="shared" si="0"/>
        <v>27571</v>
      </c>
    </row>
    <row r="19" spans="1:9" x14ac:dyDescent="0.45">
      <c r="A19" t="s">
        <v>7</v>
      </c>
      <c r="B19">
        <v>96</v>
      </c>
      <c r="C19">
        <v>43200</v>
      </c>
      <c r="D19">
        <v>0.4052</v>
      </c>
      <c r="E19">
        <v>68.084199999999996</v>
      </c>
      <c r="F19">
        <v>2684.7249000000002</v>
      </c>
      <c r="G19">
        <v>750</v>
      </c>
      <c r="H19">
        <v>41036</v>
      </c>
      <c r="I19">
        <f t="shared" si="0"/>
        <v>41786</v>
      </c>
    </row>
    <row r="20" spans="1:9" x14ac:dyDescent="0.45">
      <c r="A20" t="s">
        <v>7</v>
      </c>
      <c r="B20">
        <v>126</v>
      </c>
      <c r="C20">
        <v>43200</v>
      </c>
      <c r="D20">
        <v>0.44090000000000001</v>
      </c>
      <c r="E20">
        <v>87.9101</v>
      </c>
      <c r="F20">
        <v>2804.14</v>
      </c>
      <c r="G20">
        <v>676</v>
      </c>
      <c r="H20">
        <v>57347</v>
      </c>
      <c r="I20">
        <f t="shared" si="0"/>
        <v>58023</v>
      </c>
    </row>
    <row r="21" spans="1:9" x14ac:dyDescent="0.45">
      <c r="A21" t="s">
        <v>7</v>
      </c>
      <c r="B21">
        <v>156</v>
      </c>
      <c r="C21">
        <v>43200</v>
      </c>
      <c r="D21">
        <v>0.46250000000000002</v>
      </c>
      <c r="E21">
        <v>105.8997</v>
      </c>
      <c r="F21">
        <v>3073.4751999999999</v>
      </c>
      <c r="G21">
        <v>640</v>
      </c>
      <c r="H21">
        <v>72478</v>
      </c>
      <c r="I21">
        <f t="shared" si="0"/>
        <v>73118</v>
      </c>
    </row>
    <row r="22" spans="1:9" x14ac:dyDescent="0.45">
      <c r="A22" t="s">
        <v>7</v>
      </c>
      <c r="B22">
        <v>36</v>
      </c>
      <c r="C22">
        <v>86400</v>
      </c>
      <c r="D22">
        <v>0.4078</v>
      </c>
      <c r="E22">
        <v>21.731400000000001</v>
      </c>
      <c r="F22">
        <v>1470.8905</v>
      </c>
      <c r="G22">
        <v>1647</v>
      </c>
      <c r="H22">
        <v>27164</v>
      </c>
      <c r="I22">
        <f t="shared" si="0"/>
        <v>28811</v>
      </c>
    </row>
    <row r="23" spans="1:9" x14ac:dyDescent="0.45">
      <c r="A23" t="s">
        <v>7</v>
      </c>
      <c r="B23">
        <v>66</v>
      </c>
      <c r="C23">
        <v>86400</v>
      </c>
      <c r="D23">
        <v>0.40200000000000002</v>
      </c>
      <c r="E23">
        <v>45.115499999999997</v>
      </c>
      <c r="F23">
        <v>2142.1597999999999</v>
      </c>
      <c r="G23">
        <v>1652</v>
      </c>
      <c r="H23">
        <v>54278</v>
      </c>
      <c r="I23">
        <f t="shared" si="0"/>
        <v>55930</v>
      </c>
    </row>
    <row r="24" spans="1:9" x14ac:dyDescent="0.45">
      <c r="A24" t="s">
        <v>7</v>
      </c>
      <c r="B24">
        <v>96</v>
      </c>
      <c r="C24">
        <v>86400</v>
      </c>
      <c r="D24">
        <v>0.42820000000000003</v>
      </c>
      <c r="E24">
        <v>65.506799999999998</v>
      </c>
      <c r="F24">
        <v>2738.3440999999998</v>
      </c>
      <c r="G24">
        <v>1554</v>
      </c>
      <c r="H24">
        <v>83466</v>
      </c>
      <c r="I24">
        <f t="shared" si="0"/>
        <v>85020</v>
      </c>
    </row>
    <row r="25" spans="1:9" x14ac:dyDescent="0.45">
      <c r="A25" t="s">
        <v>7</v>
      </c>
      <c r="B25">
        <v>126</v>
      </c>
      <c r="C25">
        <v>86400</v>
      </c>
      <c r="D25">
        <v>0.45569999999999999</v>
      </c>
      <c r="E25">
        <v>85.313599999999994</v>
      </c>
      <c r="F25">
        <v>2936.1833999999999</v>
      </c>
      <c r="G25">
        <v>1462</v>
      </c>
      <c r="H25">
        <v>115056</v>
      </c>
      <c r="I25">
        <f t="shared" si="0"/>
        <v>116518</v>
      </c>
    </row>
    <row r="26" spans="1:9" x14ac:dyDescent="0.45">
      <c r="A26" t="s">
        <v>7</v>
      </c>
      <c r="B26">
        <v>156</v>
      </c>
      <c r="C26">
        <v>86400</v>
      </c>
      <c r="D26">
        <v>0.4819</v>
      </c>
      <c r="E26">
        <v>103.6516</v>
      </c>
      <c r="F26">
        <v>3442.0549000000001</v>
      </c>
      <c r="G26">
        <v>1365</v>
      </c>
      <c r="H26">
        <v>147768</v>
      </c>
      <c r="I26">
        <f t="shared" si="0"/>
        <v>149133</v>
      </c>
    </row>
    <row r="27" spans="1:9" x14ac:dyDescent="0.45">
      <c r="A27" t="s">
        <v>7</v>
      </c>
      <c r="B27">
        <v>36</v>
      </c>
      <c r="C27">
        <v>172800</v>
      </c>
      <c r="D27">
        <v>0.40110000000000001</v>
      </c>
      <c r="E27">
        <v>22.6495</v>
      </c>
      <c r="F27">
        <v>1530.9041999999999</v>
      </c>
      <c r="G27">
        <v>3443</v>
      </c>
      <c r="H27">
        <v>55600</v>
      </c>
      <c r="I27">
        <f t="shared" si="0"/>
        <v>59043</v>
      </c>
    </row>
    <row r="28" spans="1:9" x14ac:dyDescent="0.45">
      <c r="A28" t="s">
        <v>7</v>
      </c>
      <c r="B28">
        <v>66</v>
      </c>
      <c r="C28">
        <v>172800</v>
      </c>
      <c r="D28">
        <v>0.40429999999999999</v>
      </c>
      <c r="E28">
        <v>44.707000000000001</v>
      </c>
      <c r="F28">
        <v>2232.8986</v>
      </c>
      <c r="G28">
        <v>3403</v>
      </c>
      <c r="H28">
        <v>108280</v>
      </c>
      <c r="I28">
        <f t="shared" si="0"/>
        <v>111683</v>
      </c>
    </row>
    <row r="29" spans="1:9" x14ac:dyDescent="0.45">
      <c r="A29" t="s">
        <v>7</v>
      </c>
      <c r="B29">
        <v>96</v>
      </c>
      <c r="C29">
        <v>172800</v>
      </c>
      <c r="D29">
        <v>0.44109999999999999</v>
      </c>
      <c r="E29">
        <v>64.087199999999996</v>
      </c>
      <c r="F29">
        <v>2838.3013999999998</v>
      </c>
      <c r="G29">
        <v>3142</v>
      </c>
      <c r="H29">
        <v>167925</v>
      </c>
      <c r="I29">
        <f t="shared" si="0"/>
        <v>171067</v>
      </c>
    </row>
    <row r="30" spans="1:9" x14ac:dyDescent="0.45">
      <c r="A30" t="s">
        <v>7</v>
      </c>
      <c r="B30">
        <v>126</v>
      </c>
      <c r="C30">
        <v>172800</v>
      </c>
      <c r="D30">
        <v>0.46139999999999998</v>
      </c>
      <c r="E30">
        <v>85.298299999999998</v>
      </c>
      <c r="F30">
        <v>3127.1925999999999</v>
      </c>
      <c r="G30">
        <v>3014</v>
      </c>
      <c r="H30">
        <v>232919</v>
      </c>
      <c r="I30">
        <f t="shared" si="0"/>
        <v>235933</v>
      </c>
    </row>
    <row r="31" spans="1:9" x14ac:dyDescent="0.45">
      <c r="A31" t="s">
        <v>7</v>
      </c>
      <c r="B31">
        <v>156</v>
      </c>
      <c r="C31">
        <v>172800</v>
      </c>
      <c r="D31">
        <v>0.498</v>
      </c>
      <c r="E31">
        <v>100.7615</v>
      </c>
      <c r="F31">
        <v>3415.424</v>
      </c>
      <c r="G31">
        <v>2804</v>
      </c>
      <c r="H31">
        <v>297449</v>
      </c>
      <c r="I31">
        <f t="shared" si="0"/>
        <v>300253</v>
      </c>
    </row>
    <row r="32" spans="1:9" x14ac:dyDescent="0.45">
      <c r="A32" t="s">
        <v>8</v>
      </c>
      <c r="B32">
        <v>36</v>
      </c>
      <c r="C32">
        <v>43200</v>
      </c>
      <c r="D32">
        <v>0.52149999999999996</v>
      </c>
      <c r="E32">
        <v>706.62879999999996</v>
      </c>
      <c r="F32">
        <v>1494.7379000000001</v>
      </c>
      <c r="G32">
        <v>541468</v>
      </c>
      <c r="H32">
        <v>0</v>
      </c>
      <c r="I32">
        <f t="shared" si="0"/>
        <v>541468</v>
      </c>
    </row>
    <row r="33" spans="1:9" x14ac:dyDescent="0.45">
      <c r="A33" t="s">
        <v>8</v>
      </c>
      <c r="B33">
        <v>66</v>
      </c>
      <c r="C33">
        <v>43200</v>
      </c>
      <c r="D33">
        <v>0.42230000000000001</v>
      </c>
      <c r="E33">
        <v>929.94979999999998</v>
      </c>
      <c r="F33">
        <v>1575.9167</v>
      </c>
      <c r="G33">
        <v>574453</v>
      </c>
      <c r="H33">
        <v>0</v>
      </c>
      <c r="I33">
        <f t="shared" si="0"/>
        <v>574453</v>
      </c>
    </row>
    <row r="34" spans="1:9" x14ac:dyDescent="0.45">
      <c r="A34" t="s">
        <v>8</v>
      </c>
      <c r="B34">
        <v>96</v>
      </c>
      <c r="C34">
        <v>43200</v>
      </c>
      <c r="D34">
        <v>0.35809999999999997</v>
      </c>
      <c r="E34">
        <v>1151.6170999999999</v>
      </c>
      <c r="F34">
        <v>1554.848</v>
      </c>
      <c r="G34">
        <v>605055</v>
      </c>
      <c r="H34">
        <v>0</v>
      </c>
      <c r="I34">
        <f t="shared" si="0"/>
        <v>605055</v>
      </c>
    </row>
    <row r="35" spans="1:9" x14ac:dyDescent="0.45">
      <c r="A35" t="s">
        <v>8</v>
      </c>
      <c r="B35">
        <v>126</v>
      </c>
      <c r="C35">
        <v>43200</v>
      </c>
      <c r="D35">
        <v>0.33629999999999999</v>
      </c>
      <c r="E35">
        <v>1387.5589</v>
      </c>
      <c r="F35">
        <v>1570.4358</v>
      </c>
      <c r="G35">
        <v>683021</v>
      </c>
      <c r="H35">
        <v>0</v>
      </c>
      <c r="I35">
        <f t="shared" si="0"/>
        <v>683021</v>
      </c>
    </row>
    <row r="36" spans="1:9" x14ac:dyDescent="0.45">
      <c r="A36" t="s">
        <v>8</v>
      </c>
      <c r="B36">
        <v>156</v>
      </c>
      <c r="C36">
        <v>43200</v>
      </c>
      <c r="D36">
        <v>0.31380000000000002</v>
      </c>
      <c r="E36">
        <v>1631.0129999999999</v>
      </c>
      <c r="F36">
        <v>1442.683</v>
      </c>
      <c r="G36">
        <v>750421</v>
      </c>
      <c r="H36">
        <v>0</v>
      </c>
      <c r="I36">
        <f t="shared" si="0"/>
        <v>750421</v>
      </c>
    </row>
    <row r="37" spans="1:9" x14ac:dyDescent="0.45">
      <c r="A37" t="s">
        <v>8</v>
      </c>
      <c r="B37">
        <v>36</v>
      </c>
      <c r="C37">
        <v>86400</v>
      </c>
      <c r="D37">
        <v>0.51229999999999998</v>
      </c>
      <c r="E37">
        <v>738.45770000000005</v>
      </c>
      <c r="F37">
        <v>1525.9768999999999</v>
      </c>
      <c r="G37">
        <v>1110728</v>
      </c>
      <c r="H37">
        <v>0</v>
      </c>
      <c r="I37">
        <f t="shared" si="0"/>
        <v>1110728</v>
      </c>
    </row>
    <row r="38" spans="1:9" x14ac:dyDescent="0.45">
      <c r="A38" t="s">
        <v>8</v>
      </c>
      <c r="B38">
        <v>66</v>
      </c>
      <c r="C38">
        <v>86400</v>
      </c>
      <c r="D38">
        <v>0.40920000000000001</v>
      </c>
      <c r="E38">
        <v>965.41899999999998</v>
      </c>
      <c r="F38">
        <v>1632.9366</v>
      </c>
      <c r="G38">
        <v>1158698</v>
      </c>
      <c r="H38">
        <v>0</v>
      </c>
      <c r="I38">
        <f t="shared" si="0"/>
        <v>1158698</v>
      </c>
    </row>
    <row r="39" spans="1:9" x14ac:dyDescent="0.45">
      <c r="A39" t="s">
        <v>8</v>
      </c>
      <c r="B39">
        <v>96</v>
      </c>
      <c r="C39">
        <v>86400</v>
      </c>
      <c r="D39">
        <v>0.36059999999999998</v>
      </c>
      <c r="E39">
        <v>1208.8657000000001</v>
      </c>
      <c r="F39">
        <v>1646.1420000000001</v>
      </c>
      <c r="G39">
        <v>1279728</v>
      </c>
      <c r="H39">
        <v>0</v>
      </c>
      <c r="I39">
        <f t="shared" si="0"/>
        <v>1279728</v>
      </c>
    </row>
    <row r="40" spans="1:9" x14ac:dyDescent="0.45">
      <c r="A40" t="s">
        <v>8</v>
      </c>
      <c r="B40">
        <v>126</v>
      </c>
      <c r="C40">
        <v>86400</v>
      </c>
      <c r="D40">
        <v>0.32269999999999999</v>
      </c>
      <c r="E40">
        <v>1475.7149999999999</v>
      </c>
      <c r="F40">
        <v>1643.1982</v>
      </c>
      <c r="G40">
        <v>1394787</v>
      </c>
      <c r="H40">
        <v>0</v>
      </c>
      <c r="I40">
        <f t="shared" si="0"/>
        <v>1394787</v>
      </c>
    </row>
    <row r="41" spans="1:9" x14ac:dyDescent="0.45">
      <c r="A41" t="s">
        <v>8</v>
      </c>
      <c r="B41">
        <v>156</v>
      </c>
      <c r="C41">
        <v>86400</v>
      </c>
      <c r="D41">
        <v>0.31230000000000002</v>
      </c>
      <c r="E41">
        <v>1738.7869000000001</v>
      </c>
      <c r="F41">
        <v>1540.0045</v>
      </c>
      <c r="G41">
        <v>1592586</v>
      </c>
      <c r="H41">
        <v>0</v>
      </c>
      <c r="I41">
        <f t="shared" si="0"/>
        <v>1592586</v>
      </c>
    </row>
    <row r="42" spans="1:9" x14ac:dyDescent="0.45">
      <c r="A42" t="s">
        <v>8</v>
      </c>
      <c r="B42">
        <v>36</v>
      </c>
      <c r="C42">
        <v>172800</v>
      </c>
      <c r="D42">
        <v>0.49759999999999999</v>
      </c>
      <c r="E42">
        <v>757.31330000000003</v>
      </c>
      <c r="F42">
        <v>1590.7855999999999</v>
      </c>
      <c r="G42">
        <v>2214315</v>
      </c>
      <c r="H42">
        <v>0</v>
      </c>
      <c r="I42">
        <f t="shared" si="0"/>
        <v>2214315</v>
      </c>
    </row>
    <row r="43" spans="1:9" x14ac:dyDescent="0.45">
      <c r="A43" t="s">
        <v>8</v>
      </c>
      <c r="B43">
        <v>66</v>
      </c>
      <c r="C43">
        <v>172800</v>
      </c>
      <c r="D43">
        <v>0.41799999999999998</v>
      </c>
      <c r="E43">
        <v>956.31359999999995</v>
      </c>
      <c r="F43">
        <v>1622.6804</v>
      </c>
      <c r="G43">
        <v>2347113</v>
      </c>
      <c r="H43">
        <v>0</v>
      </c>
      <c r="I43">
        <f t="shared" si="0"/>
        <v>2347113</v>
      </c>
    </row>
    <row r="44" spans="1:9" x14ac:dyDescent="0.45">
      <c r="A44" t="s">
        <v>8</v>
      </c>
      <c r="B44">
        <v>96</v>
      </c>
      <c r="C44">
        <v>172800</v>
      </c>
      <c r="D44">
        <v>0.3599</v>
      </c>
      <c r="E44">
        <v>1228.1225999999999</v>
      </c>
      <c r="F44">
        <v>1615.0962</v>
      </c>
      <c r="G44">
        <v>2590093</v>
      </c>
      <c r="H44">
        <v>0</v>
      </c>
      <c r="I44">
        <f t="shared" si="0"/>
        <v>2590093</v>
      </c>
    </row>
    <row r="45" spans="1:9" x14ac:dyDescent="0.45">
      <c r="A45" t="s">
        <v>8</v>
      </c>
      <c r="B45">
        <v>126</v>
      </c>
      <c r="C45">
        <v>172800</v>
      </c>
      <c r="D45">
        <v>0.32300000000000001</v>
      </c>
      <c r="E45">
        <v>1485.018</v>
      </c>
      <c r="F45">
        <v>1695.5968</v>
      </c>
      <c r="G45">
        <v>2809839</v>
      </c>
      <c r="H45">
        <v>0</v>
      </c>
      <c r="I45">
        <f t="shared" si="0"/>
        <v>2809839</v>
      </c>
    </row>
    <row r="46" spans="1:9" x14ac:dyDescent="0.45">
      <c r="A46" t="s">
        <v>8</v>
      </c>
      <c r="B46">
        <v>156</v>
      </c>
      <c r="C46">
        <v>172800</v>
      </c>
      <c r="D46">
        <v>0.30959999999999999</v>
      </c>
      <c r="E46">
        <v>1782.1695</v>
      </c>
      <c r="F46">
        <v>1622.7818</v>
      </c>
      <c r="G46">
        <v>3242704</v>
      </c>
      <c r="H46">
        <v>0</v>
      </c>
      <c r="I46">
        <f t="shared" si="0"/>
        <v>3242704</v>
      </c>
    </row>
    <row r="47" spans="1:9" x14ac:dyDescent="0.45">
      <c r="A47" t="s">
        <v>9</v>
      </c>
      <c r="B47">
        <v>36</v>
      </c>
      <c r="C47">
        <v>43200</v>
      </c>
      <c r="D47">
        <v>0.58620000000000005</v>
      </c>
      <c r="E47">
        <v>0.68600000000000005</v>
      </c>
      <c r="F47">
        <v>2514.2195000000002</v>
      </c>
      <c r="G47">
        <v>1501</v>
      </c>
      <c r="H47">
        <v>219</v>
      </c>
      <c r="I47">
        <f t="shared" si="0"/>
        <v>1720</v>
      </c>
    </row>
    <row r="48" spans="1:9" x14ac:dyDescent="0.45">
      <c r="A48" t="s">
        <v>9</v>
      </c>
      <c r="B48">
        <v>66</v>
      </c>
      <c r="C48">
        <v>43200</v>
      </c>
      <c r="D48">
        <v>0.65780000000000005</v>
      </c>
      <c r="E48">
        <v>0.99790000000000001</v>
      </c>
      <c r="F48">
        <v>3359.1588000000002</v>
      </c>
      <c r="G48">
        <v>1691</v>
      </c>
      <c r="H48">
        <v>274</v>
      </c>
      <c r="I48">
        <f t="shared" si="0"/>
        <v>1965</v>
      </c>
    </row>
    <row r="49" spans="1:9" x14ac:dyDescent="0.45">
      <c r="A49" t="s">
        <v>9</v>
      </c>
      <c r="B49">
        <v>96</v>
      </c>
      <c r="C49">
        <v>43200</v>
      </c>
      <c r="D49">
        <v>0.68279999999999996</v>
      </c>
      <c r="E49">
        <v>1.3926000000000001</v>
      </c>
      <c r="F49">
        <v>3678.1531</v>
      </c>
      <c r="G49">
        <v>1870</v>
      </c>
      <c r="H49">
        <v>355</v>
      </c>
      <c r="I49">
        <f t="shared" si="0"/>
        <v>2225</v>
      </c>
    </row>
    <row r="50" spans="1:9" x14ac:dyDescent="0.45">
      <c r="A50" t="s">
        <v>9</v>
      </c>
      <c r="B50">
        <v>126</v>
      </c>
      <c r="C50">
        <v>43200</v>
      </c>
      <c r="D50">
        <v>0.74029999999999996</v>
      </c>
      <c r="E50">
        <v>1.831</v>
      </c>
      <c r="F50">
        <v>4111.3360000000002</v>
      </c>
      <c r="G50">
        <v>2277</v>
      </c>
      <c r="H50">
        <v>418</v>
      </c>
      <c r="I50">
        <f t="shared" si="0"/>
        <v>2695</v>
      </c>
    </row>
    <row r="51" spans="1:9" x14ac:dyDescent="0.45">
      <c r="A51" t="s">
        <v>9</v>
      </c>
      <c r="B51">
        <v>156</v>
      </c>
      <c r="C51">
        <v>43200</v>
      </c>
      <c r="D51">
        <v>0.72370000000000001</v>
      </c>
      <c r="E51">
        <v>2.573</v>
      </c>
      <c r="F51">
        <v>4157.6670999999997</v>
      </c>
      <c r="G51">
        <v>2719</v>
      </c>
      <c r="H51">
        <v>575</v>
      </c>
      <c r="I51">
        <f t="shared" si="0"/>
        <v>3294</v>
      </c>
    </row>
    <row r="52" spans="1:9" x14ac:dyDescent="0.45">
      <c r="A52" t="s">
        <v>9</v>
      </c>
      <c r="B52">
        <v>36</v>
      </c>
      <c r="C52">
        <v>86400</v>
      </c>
      <c r="D52">
        <v>0.59419999999999995</v>
      </c>
      <c r="E52">
        <v>0.65539999999999998</v>
      </c>
      <c r="F52">
        <v>2635.2919999999999</v>
      </c>
      <c r="G52">
        <v>3284</v>
      </c>
      <c r="H52">
        <v>448</v>
      </c>
      <c r="I52">
        <f t="shared" si="0"/>
        <v>3732</v>
      </c>
    </row>
    <row r="53" spans="1:9" x14ac:dyDescent="0.45">
      <c r="A53" t="s">
        <v>9</v>
      </c>
      <c r="B53">
        <v>66</v>
      </c>
      <c r="C53">
        <v>86400</v>
      </c>
      <c r="D53">
        <v>0.6895</v>
      </c>
      <c r="E53">
        <v>0.96189999999999998</v>
      </c>
      <c r="F53">
        <v>3547.0448000000001</v>
      </c>
      <c r="G53">
        <v>3813</v>
      </c>
      <c r="H53">
        <v>581</v>
      </c>
      <c r="I53">
        <f t="shared" si="0"/>
        <v>4394</v>
      </c>
    </row>
    <row r="54" spans="1:9" x14ac:dyDescent="0.45">
      <c r="A54" t="s">
        <v>9</v>
      </c>
      <c r="B54">
        <v>96</v>
      </c>
      <c r="C54">
        <v>86400</v>
      </c>
      <c r="D54">
        <v>0.73150000000000004</v>
      </c>
      <c r="E54">
        <v>1.3811</v>
      </c>
      <c r="F54">
        <v>4104.7496000000001</v>
      </c>
      <c r="G54">
        <v>4526</v>
      </c>
      <c r="H54">
        <v>750</v>
      </c>
      <c r="I54">
        <f t="shared" si="0"/>
        <v>5276</v>
      </c>
    </row>
    <row r="55" spans="1:9" x14ac:dyDescent="0.45">
      <c r="A55" t="s">
        <v>9</v>
      </c>
      <c r="B55">
        <v>126</v>
      </c>
      <c r="C55">
        <v>86400</v>
      </c>
      <c r="D55">
        <v>0.7802</v>
      </c>
      <c r="E55">
        <v>1.7975000000000001</v>
      </c>
      <c r="F55">
        <v>4228.2752</v>
      </c>
      <c r="G55">
        <v>5312</v>
      </c>
      <c r="H55">
        <v>977</v>
      </c>
      <c r="I55">
        <f t="shared" si="0"/>
        <v>6289</v>
      </c>
    </row>
    <row r="56" spans="1:9" x14ac:dyDescent="0.45">
      <c r="A56" t="s">
        <v>9</v>
      </c>
      <c r="B56">
        <v>156</v>
      </c>
      <c r="C56">
        <v>86400</v>
      </c>
      <c r="D56">
        <v>0.77470000000000006</v>
      </c>
      <c r="E56">
        <v>2.4392</v>
      </c>
      <c r="F56">
        <v>4581.1376</v>
      </c>
      <c r="G56">
        <v>6413</v>
      </c>
      <c r="H56">
        <v>1190</v>
      </c>
      <c r="I56">
        <f t="shared" si="0"/>
        <v>7603</v>
      </c>
    </row>
    <row r="57" spans="1:9" x14ac:dyDescent="0.45">
      <c r="A57" t="s">
        <v>9</v>
      </c>
      <c r="B57">
        <v>36</v>
      </c>
      <c r="C57">
        <v>172800</v>
      </c>
      <c r="D57">
        <v>0.61599999999999999</v>
      </c>
      <c r="E57">
        <v>0.68869999999999998</v>
      </c>
      <c r="F57">
        <v>2800.7775000000001</v>
      </c>
      <c r="G57">
        <v>7179</v>
      </c>
      <c r="H57">
        <v>814</v>
      </c>
      <c r="I57">
        <f t="shared" si="0"/>
        <v>7993</v>
      </c>
    </row>
    <row r="58" spans="1:9" x14ac:dyDescent="0.45">
      <c r="A58" t="s">
        <v>9</v>
      </c>
      <c r="B58">
        <v>66</v>
      </c>
      <c r="C58">
        <v>172800</v>
      </c>
      <c r="D58">
        <v>0.68779999999999997</v>
      </c>
      <c r="E58">
        <v>0.9667</v>
      </c>
      <c r="F58">
        <v>3595.9555</v>
      </c>
      <c r="G58">
        <v>8142</v>
      </c>
      <c r="H58">
        <v>1140</v>
      </c>
      <c r="I58">
        <f t="shared" si="0"/>
        <v>9282</v>
      </c>
    </row>
    <row r="59" spans="1:9" x14ac:dyDescent="0.45">
      <c r="A59" t="s">
        <v>9</v>
      </c>
      <c r="B59">
        <v>96</v>
      </c>
      <c r="C59">
        <v>172800</v>
      </c>
      <c r="D59">
        <v>0.74760000000000004</v>
      </c>
      <c r="E59">
        <v>1.3091999999999999</v>
      </c>
      <c r="F59">
        <v>4160.9197000000004</v>
      </c>
      <c r="G59">
        <v>9575</v>
      </c>
      <c r="H59">
        <v>1392</v>
      </c>
      <c r="I59">
        <f t="shared" si="0"/>
        <v>10967</v>
      </c>
    </row>
    <row r="60" spans="1:9" x14ac:dyDescent="0.45">
      <c r="A60" t="s">
        <v>9</v>
      </c>
      <c r="B60">
        <v>126</v>
      </c>
      <c r="C60">
        <v>172800</v>
      </c>
      <c r="D60">
        <v>0.79449999999999998</v>
      </c>
      <c r="E60">
        <v>1.7991999999999999</v>
      </c>
      <c r="F60">
        <v>4363.6792999999998</v>
      </c>
      <c r="G60">
        <v>11534</v>
      </c>
      <c r="H60">
        <v>1937</v>
      </c>
      <c r="I60">
        <f t="shared" si="0"/>
        <v>13471</v>
      </c>
    </row>
    <row r="61" spans="1:9" x14ac:dyDescent="0.45">
      <c r="A61" t="s">
        <v>9</v>
      </c>
      <c r="B61">
        <v>156</v>
      </c>
      <c r="C61">
        <v>172800</v>
      </c>
      <c r="D61">
        <v>0.80200000000000005</v>
      </c>
      <c r="E61">
        <v>2.4443999999999999</v>
      </c>
      <c r="F61">
        <v>4600.0527000000002</v>
      </c>
      <c r="G61">
        <v>13877</v>
      </c>
      <c r="H61">
        <v>2608</v>
      </c>
      <c r="I61">
        <f t="shared" si="0"/>
        <v>16485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EB9E-6740-4A29-805E-B3AD3BE73F72}">
  <dimension ref="A1:I61"/>
  <sheetViews>
    <sheetView topLeftCell="C28" workbookViewId="0">
      <selection activeCell="I58" sqref="I58"/>
    </sheetView>
  </sheetViews>
  <sheetFormatPr defaultRowHeight="14.25" x14ac:dyDescent="0.45"/>
  <cols>
    <col min="1" max="1" width="14.3984375" customWidth="1"/>
    <col min="4" max="5" width="13.19921875" customWidth="1"/>
    <col min="6" max="6" width="15.33203125" customWidth="1"/>
    <col min="7" max="7" width="17.19921875" customWidth="1"/>
    <col min="8" max="8" width="19" customWidth="1"/>
    <col min="9" max="9" width="25.53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20</v>
      </c>
      <c r="H1" t="s">
        <v>21</v>
      </c>
      <c r="I1" t="s">
        <v>22</v>
      </c>
    </row>
    <row r="2" spans="1:9" x14ac:dyDescent="0.45">
      <c r="A2" t="s">
        <v>3</v>
      </c>
      <c r="B2">
        <v>36</v>
      </c>
      <c r="C2">
        <v>43200</v>
      </c>
      <c r="D2">
        <v>0.31630000000000003</v>
      </c>
      <c r="E2">
        <v>481.3836</v>
      </c>
      <c r="F2">
        <v>1227.02</v>
      </c>
      <c r="G2">
        <v>224215</v>
      </c>
      <c r="H2">
        <v>0</v>
      </c>
      <c r="I2">
        <f>G2+H2</f>
        <v>224215</v>
      </c>
    </row>
    <row r="3" spans="1:9" x14ac:dyDescent="0.45">
      <c r="A3" t="s">
        <v>3</v>
      </c>
      <c r="B3">
        <v>66</v>
      </c>
      <c r="C3">
        <v>43200</v>
      </c>
      <c r="D3">
        <v>0.2752</v>
      </c>
      <c r="E3">
        <v>563.71889999999996</v>
      </c>
      <c r="F3">
        <v>1271.3731</v>
      </c>
      <c r="G3">
        <v>227284</v>
      </c>
      <c r="H3">
        <v>0</v>
      </c>
      <c r="I3">
        <f t="shared" ref="I3:I61" si="0">G3+H3</f>
        <v>227284</v>
      </c>
    </row>
    <row r="4" spans="1:9" x14ac:dyDescent="0.45">
      <c r="A4" t="s">
        <v>3</v>
      </c>
      <c r="B4">
        <v>96</v>
      </c>
      <c r="C4">
        <v>43200</v>
      </c>
      <c r="D4">
        <v>0.2387</v>
      </c>
      <c r="E4">
        <v>831.19709999999998</v>
      </c>
      <c r="F4">
        <v>1216.8131000000001</v>
      </c>
      <c r="G4">
        <v>291398</v>
      </c>
      <c r="H4">
        <v>0</v>
      </c>
      <c r="I4">
        <f t="shared" si="0"/>
        <v>291398</v>
      </c>
    </row>
    <row r="5" spans="1:9" x14ac:dyDescent="0.45">
      <c r="A5" t="s">
        <v>3</v>
      </c>
      <c r="B5">
        <v>126</v>
      </c>
      <c r="C5">
        <v>43200</v>
      </c>
      <c r="D5">
        <v>0.22420000000000001</v>
      </c>
      <c r="E5">
        <v>1112.2348</v>
      </c>
      <c r="F5">
        <v>1367.0990999999999</v>
      </c>
      <c r="G5">
        <v>365069</v>
      </c>
      <c r="H5">
        <v>0</v>
      </c>
      <c r="I5">
        <f t="shared" si="0"/>
        <v>365069</v>
      </c>
    </row>
    <row r="6" spans="1:9" x14ac:dyDescent="0.45">
      <c r="A6" t="s">
        <v>3</v>
      </c>
      <c r="B6">
        <v>156</v>
      </c>
      <c r="C6">
        <v>43200</v>
      </c>
      <c r="D6">
        <v>0.1971</v>
      </c>
      <c r="E6">
        <v>1587.5225</v>
      </c>
      <c r="F6">
        <v>1211.0152</v>
      </c>
      <c r="G6">
        <v>458807</v>
      </c>
      <c r="H6">
        <v>0</v>
      </c>
      <c r="I6">
        <f t="shared" si="0"/>
        <v>458807</v>
      </c>
    </row>
    <row r="7" spans="1:9" x14ac:dyDescent="0.45">
      <c r="A7" t="s">
        <v>3</v>
      </c>
      <c r="B7">
        <v>36</v>
      </c>
      <c r="C7">
        <v>86400</v>
      </c>
      <c r="D7">
        <v>0.30409999999999998</v>
      </c>
      <c r="E7">
        <v>495.12459999999999</v>
      </c>
      <c r="F7">
        <v>1193.002</v>
      </c>
      <c r="G7">
        <v>443495</v>
      </c>
      <c r="H7">
        <v>0</v>
      </c>
      <c r="I7">
        <f t="shared" si="0"/>
        <v>443495</v>
      </c>
    </row>
    <row r="8" spans="1:9" x14ac:dyDescent="0.45">
      <c r="A8" t="s">
        <v>3</v>
      </c>
      <c r="B8">
        <v>66</v>
      </c>
      <c r="C8">
        <v>86400</v>
      </c>
      <c r="D8">
        <v>0.25240000000000001</v>
      </c>
      <c r="E8">
        <v>619.23820000000001</v>
      </c>
      <c r="F8">
        <v>1198.5835</v>
      </c>
      <c r="G8">
        <v>459758</v>
      </c>
      <c r="H8">
        <v>0</v>
      </c>
      <c r="I8">
        <f t="shared" si="0"/>
        <v>459758</v>
      </c>
    </row>
    <row r="9" spans="1:9" x14ac:dyDescent="0.45">
      <c r="A9" t="s">
        <v>3</v>
      </c>
      <c r="B9">
        <v>96</v>
      </c>
      <c r="C9">
        <v>86400</v>
      </c>
      <c r="D9">
        <v>0.2351</v>
      </c>
      <c r="E9">
        <v>872.43110000000001</v>
      </c>
      <c r="F9">
        <v>1245.998</v>
      </c>
      <c r="G9">
        <v>603040</v>
      </c>
      <c r="H9">
        <v>0</v>
      </c>
      <c r="I9">
        <f t="shared" si="0"/>
        <v>603040</v>
      </c>
    </row>
    <row r="10" spans="1:9" x14ac:dyDescent="0.45">
      <c r="A10" t="s">
        <v>3</v>
      </c>
      <c r="B10">
        <v>126</v>
      </c>
      <c r="C10">
        <v>86400</v>
      </c>
      <c r="D10">
        <v>0.215</v>
      </c>
      <c r="E10">
        <v>1167.1049</v>
      </c>
      <c r="F10">
        <v>1283.1836000000001</v>
      </c>
      <c r="G10">
        <v>735839</v>
      </c>
      <c r="H10">
        <v>0</v>
      </c>
      <c r="I10">
        <f t="shared" si="0"/>
        <v>735839</v>
      </c>
    </row>
    <row r="11" spans="1:9" x14ac:dyDescent="0.45">
      <c r="A11" t="s">
        <v>3</v>
      </c>
      <c r="B11">
        <v>156</v>
      </c>
      <c r="C11">
        <v>86400</v>
      </c>
      <c r="D11">
        <v>0.19220000000000001</v>
      </c>
      <c r="E11">
        <v>1642.9324999999999</v>
      </c>
      <c r="F11">
        <v>1186.8988999999999</v>
      </c>
      <c r="G11">
        <v>926536</v>
      </c>
      <c r="H11">
        <v>0</v>
      </c>
      <c r="I11">
        <f t="shared" si="0"/>
        <v>926536</v>
      </c>
    </row>
    <row r="12" spans="1:9" x14ac:dyDescent="0.45">
      <c r="A12" t="s">
        <v>3</v>
      </c>
      <c r="B12">
        <v>36</v>
      </c>
      <c r="C12">
        <v>172800</v>
      </c>
      <c r="D12">
        <v>0.30570000000000003</v>
      </c>
      <c r="E12">
        <v>499.82979999999998</v>
      </c>
      <c r="F12">
        <v>1186.0904</v>
      </c>
      <c r="G12">
        <v>900957</v>
      </c>
      <c r="H12">
        <v>0</v>
      </c>
      <c r="I12">
        <f t="shared" si="0"/>
        <v>900957</v>
      </c>
    </row>
    <row r="13" spans="1:9" x14ac:dyDescent="0.45">
      <c r="A13" t="s">
        <v>3</v>
      </c>
      <c r="B13">
        <v>66</v>
      </c>
      <c r="C13">
        <v>172800</v>
      </c>
      <c r="D13">
        <v>0.25619999999999998</v>
      </c>
      <c r="E13">
        <v>650.03060000000005</v>
      </c>
      <c r="F13">
        <v>1240.3477</v>
      </c>
      <c r="G13">
        <v>980774</v>
      </c>
      <c r="H13">
        <v>0</v>
      </c>
      <c r="I13">
        <f t="shared" si="0"/>
        <v>980774</v>
      </c>
    </row>
    <row r="14" spans="1:9" x14ac:dyDescent="0.45">
      <c r="A14" t="s">
        <v>3</v>
      </c>
      <c r="B14">
        <v>96</v>
      </c>
      <c r="C14">
        <v>172800</v>
      </c>
      <c r="D14">
        <v>0.22189999999999999</v>
      </c>
      <c r="E14">
        <v>944.74109999999996</v>
      </c>
      <c r="F14">
        <v>1287.9091000000001</v>
      </c>
      <c r="G14">
        <v>1231166</v>
      </c>
      <c r="H14">
        <v>0</v>
      </c>
      <c r="I14">
        <f t="shared" si="0"/>
        <v>1231166</v>
      </c>
    </row>
    <row r="15" spans="1:9" x14ac:dyDescent="0.45">
      <c r="A15" t="s">
        <v>3</v>
      </c>
      <c r="B15">
        <v>126</v>
      </c>
      <c r="C15">
        <v>172800</v>
      </c>
      <c r="D15">
        <v>0.2077</v>
      </c>
      <c r="E15">
        <v>1207.8246999999999</v>
      </c>
      <c r="F15">
        <v>1279.1918000000001</v>
      </c>
      <c r="G15">
        <v>1472147</v>
      </c>
      <c r="H15">
        <v>0</v>
      </c>
      <c r="I15">
        <f t="shared" si="0"/>
        <v>1472147</v>
      </c>
    </row>
    <row r="16" spans="1:9" x14ac:dyDescent="0.45">
      <c r="A16" t="s">
        <v>3</v>
      </c>
      <c r="B16">
        <v>156</v>
      </c>
      <c r="C16">
        <v>172800</v>
      </c>
      <c r="D16">
        <v>0.193</v>
      </c>
      <c r="E16">
        <v>1667.143</v>
      </c>
      <c r="F16">
        <v>1206.0856000000001</v>
      </c>
      <c r="G16">
        <v>1893357</v>
      </c>
      <c r="H16">
        <v>0</v>
      </c>
      <c r="I16">
        <f t="shared" si="0"/>
        <v>1893357</v>
      </c>
    </row>
    <row r="17" spans="1:9" x14ac:dyDescent="0.45">
      <c r="A17" t="s">
        <v>7</v>
      </c>
      <c r="B17">
        <v>36</v>
      </c>
      <c r="C17">
        <v>43200</v>
      </c>
      <c r="D17">
        <v>0.3967</v>
      </c>
      <c r="E17">
        <v>22.262899999999998</v>
      </c>
      <c r="F17">
        <v>1458.6022</v>
      </c>
      <c r="G17">
        <v>819</v>
      </c>
      <c r="H17">
        <v>13539</v>
      </c>
      <c r="I17">
        <f t="shared" si="0"/>
        <v>14358</v>
      </c>
    </row>
    <row r="18" spans="1:9" x14ac:dyDescent="0.45">
      <c r="A18" t="s">
        <v>7</v>
      </c>
      <c r="B18">
        <v>66</v>
      </c>
      <c r="C18">
        <v>43200</v>
      </c>
      <c r="D18">
        <v>0.40039999999999998</v>
      </c>
      <c r="E18">
        <v>44.229100000000003</v>
      </c>
      <c r="F18">
        <v>2072.0814</v>
      </c>
      <c r="G18">
        <v>782</v>
      </c>
      <c r="H18">
        <v>26459</v>
      </c>
      <c r="I18">
        <f t="shared" si="0"/>
        <v>27241</v>
      </c>
    </row>
    <row r="19" spans="1:9" x14ac:dyDescent="0.45">
      <c r="A19" t="s">
        <v>7</v>
      </c>
      <c r="B19">
        <v>96</v>
      </c>
      <c r="C19">
        <v>43200</v>
      </c>
      <c r="D19">
        <v>0.42499999999999999</v>
      </c>
      <c r="E19">
        <v>64.210300000000004</v>
      </c>
      <c r="F19">
        <v>2557.8968</v>
      </c>
      <c r="G19">
        <v>732</v>
      </c>
      <c r="H19">
        <v>40626</v>
      </c>
      <c r="I19">
        <f t="shared" si="0"/>
        <v>41358</v>
      </c>
    </row>
    <row r="20" spans="1:9" x14ac:dyDescent="0.45">
      <c r="A20" t="s">
        <v>7</v>
      </c>
      <c r="B20">
        <v>126</v>
      </c>
      <c r="C20">
        <v>43200</v>
      </c>
      <c r="D20">
        <v>0.44019999999999998</v>
      </c>
      <c r="E20">
        <v>87.414599999999993</v>
      </c>
      <c r="F20">
        <v>3107.3836999999999</v>
      </c>
      <c r="G20">
        <v>681</v>
      </c>
      <c r="H20">
        <v>56939</v>
      </c>
      <c r="I20">
        <f t="shared" si="0"/>
        <v>57620</v>
      </c>
    </row>
    <row r="21" spans="1:9" x14ac:dyDescent="0.45">
      <c r="A21" t="s">
        <v>7</v>
      </c>
      <c r="B21">
        <v>156</v>
      </c>
      <c r="C21">
        <v>43200</v>
      </c>
      <c r="D21">
        <v>0.46729999999999999</v>
      </c>
      <c r="E21">
        <v>103.60290000000001</v>
      </c>
      <c r="F21">
        <v>3143.8148999999999</v>
      </c>
      <c r="G21">
        <v>625</v>
      </c>
      <c r="H21">
        <v>71653</v>
      </c>
      <c r="I21">
        <f t="shared" si="0"/>
        <v>72278</v>
      </c>
    </row>
    <row r="22" spans="1:9" x14ac:dyDescent="0.45">
      <c r="A22" t="s">
        <v>7</v>
      </c>
      <c r="B22">
        <v>36</v>
      </c>
      <c r="C22">
        <v>86400</v>
      </c>
      <c r="D22">
        <v>0.39389999999999997</v>
      </c>
      <c r="E22">
        <v>23.039899999999999</v>
      </c>
      <c r="F22">
        <v>1528.4952000000001</v>
      </c>
      <c r="G22">
        <v>1700</v>
      </c>
      <c r="H22">
        <v>27742</v>
      </c>
      <c r="I22">
        <f t="shared" si="0"/>
        <v>29442</v>
      </c>
    </row>
    <row r="23" spans="1:9" x14ac:dyDescent="0.45">
      <c r="A23" t="s">
        <v>7</v>
      </c>
      <c r="B23">
        <v>66</v>
      </c>
      <c r="C23">
        <v>86400</v>
      </c>
      <c r="D23">
        <v>0.40849999999999997</v>
      </c>
      <c r="E23">
        <v>43.795999999999999</v>
      </c>
      <c r="F23">
        <v>2263.7359999999999</v>
      </c>
      <c r="G23">
        <v>1629</v>
      </c>
      <c r="H23">
        <v>53576</v>
      </c>
      <c r="I23">
        <f t="shared" si="0"/>
        <v>55205</v>
      </c>
    </row>
    <row r="24" spans="1:9" x14ac:dyDescent="0.45">
      <c r="A24" t="s">
        <v>7</v>
      </c>
      <c r="B24">
        <v>96</v>
      </c>
      <c r="C24">
        <v>86400</v>
      </c>
      <c r="D24">
        <v>0.43159999999999998</v>
      </c>
      <c r="E24">
        <v>64.716200000000001</v>
      </c>
      <c r="F24">
        <v>2704.1325999999999</v>
      </c>
      <c r="G24">
        <v>1547</v>
      </c>
      <c r="H24">
        <v>83131</v>
      </c>
      <c r="I24">
        <f t="shared" si="0"/>
        <v>84678</v>
      </c>
    </row>
    <row r="25" spans="1:9" x14ac:dyDescent="0.45">
      <c r="A25" t="s">
        <v>7</v>
      </c>
      <c r="B25">
        <v>126</v>
      </c>
      <c r="C25">
        <v>86400</v>
      </c>
      <c r="D25">
        <v>0.4738</v>
      </c>
      <c r="E25">
        <v>81.120500000000007</v>
      </c>
      <c r="F25">
        <v>3022.9054000000001</v>
      </c>
      <c r="G25">
        <v>1407</v>
      </c>
      <c r="H25">
        <v>113819</v>
      </c>
      <c r="I25">
        <f t="shared" si="0"/>
        <v>115226</v>
      </c>
    </row>
    <row r="26" spans="1:9" x14ac:dyDescent="0.45">
      <c r="A26" t="s">
        <v>7</v>
      </c>
      <c r="B26">
        <v>156</v>
      </c>
      <c r="C26">
        <v>86400</v>
      </c>
      <c r="D26">
        <v>0.48159999999999997</v>
      </c>
      <c r="E26">
        <v>102.59820000000001</v>
      </c>
      <c r="F26">
        <v>3311.5281</v>
      </c>
      <c r="G26">
        <v>1370</v>
      </c>
      <c r="H26">
        <v>146177</v>
      </c>
      <c r="I26">
        <f t="shared" si="0"/>
        <v>147547</v>
      </c>
    </row>
    <row r="27" spans="1:9" x14ac:dyDescent="0.45">
      <c r="A27" t="s">
        <v>7</v>
      </c>
      <c r="B27">
        <v>36</v>
      </c>
      <c r="C27">
        <v>172800</v>
      </c>
      <c r="D27">
        <v>0.40229999999999999</v>
      </c>
      <c r="E27">
        <v>22.6675</v>
      </c>
      <c r="F27">
        <v>1553.3425999999999</v>
      </c>
      <c r="G27">
        <v>3429</v>
      </c>
      <c r="H27">
        <v>55808</v>
      </c>
      <c r="I27">
        <f t="shared" si="0"/>
        <v>59237</v>
      </c>
    </row>
    <row r="28" spans="1:9" x14ac:dyDescent="0.45">
      <c r="A28" t="s">
        <v>7</v>
      </c>
      <c r="B28">
        <v>66</v>
      </c>
      <c r="C28">
        <v>172800</v>
      </c>
      <c r="D28">
        <v>0.42449999999999999</v>
      </c>
      <c r="E28">
        <v>42.696399999999997</v>
      </c>
      <c r="F28">
        <v>2265.5853999999999</v>
      </c>
      <c r="G28">
        <v>3270</v>
      </c>
      <c r="H28">
        <v>108673</v>
      </c>
      <c r="I28">
        <f t="shared" si="0"/>
        <v>111943</v>
      </c>
    </row>
    <row r="29" spans="1:9" x14ac:dyDescent="0.45">
      <c r="A29" t="s">
        <v>7</v>
      </c>
      <c r="B29">
        <v>96</v>
      </c>
      <c r="C29">
        <v>172800</v>
      </c>
      <c r="D29">
        <v>0.43559999999999999</v>
      </c>
      <c r="E29">
        <v>65.3964</v>
      </c>
      <c r="F29">
        <v>2764.6226999999999</v>
      </c>
      <c r="G29">
        <v>3186</v>
      </c>
      <c r="H29">
        <v>169178</v>
      </c>
      <c r="I29">
        <f t="shared" si="0"/>
        <v>172364</v>
      </c>
    </row>
    <row r="30" spans="1:9" x14ac:dyDescent="0.45">
      <c r="A30" t="s">
        <v>7</v>
      </c>
      <c r="B30">
        <v>126</v>
      </c>
      <c r="C30">
        <v>172800</v>
      </c>
      <c r="D30">
        <v>0.47149999999999997</v>
      </c>
      <c r="E30">
        <v>82.232100000000003</v>
      </c>
      <c r="F30">
        <v>3118.5621999999998</v>
      </c>
      <c r="G30">
        <v>2945</v>
      </c>
      <c r="H30">
        <v>229554</v>
      </c>
      <c r="I30">
        <f t="shared" si="0"/>
        <v>232499</v>
      </c>
    </row>
    <row r="31" spans="1:9" x14ac:dyDescent="0.45">
      <c r="A31" t="s">
        <v>7</v>
      </c>
      <c r="B31">
        <v>156</v>
      </c>
      <c r="C31">
        <v>172800</v>
      </c>
      <c r="D31">
        <v>0.48530000000000001</v>
      </c>
      <c r="E31">
        <v>102.8553</v>
      </c>
      <c r="F31">
        <v>3343.3996999999999</v>
      </c>
      <c r="G31">
        <v>2894</v>
      </c>
      <c r="H31">
        <v>295780</v>
      </c>
      <c r="I31">
        <f t="shared" si="0"/>
        <v>298674</v>
      </c>
    </row>
    <row r="32" spans="1:9" x14ac:dyDescent="0.45">
      <c r="A32" t="s">
        <v>8</v>
      </c>
      <c r="B32">
        <v>36</v>
      </c>
      <c r="C32">
        <v>43200</v>
      </c>
      <c r="D32">
        <v>0.50919999999999999</v>
      </c>
      <c r="E32">
        <v>700.81259999999997</v>
      </c>
      <c r="F32">
        <v>1539.8556000000001</v>
      </c>
      <c r="G32">
        <v>524384</v>
      </c>
      <c r="H32">
        <v>0</v>
      </c>
      <c r="I32">
        <f t="shared" si="0"/>
        <v>524384</v>
      </c>
    </row>
    <row r="33" spans="1:9" x14ac:dyDescent="0.45">
      <c r="A33" t="s">
        <v>8</v>
      </c>
      <c r="B33">
        <v>66</v>
      </c>
      <c r="C33">
        <v>43200</v>
      </c>
      <c r="D33">
        <v>0.42709999999999998</v>
      </c>
      <c r="E33">
        <v>794.79970000000003</v>
      </c>
      <c r="F33">
        <v>1608.6837</v>
      </c>
      <c r="G33">
        <v>496620</v>
      </c>
      <c r="H33">
        <v>0</v>
      </c>
      <c r="I33">
        <f t="shared" si="0"/>
        <v>496620</v>
      </c>
    </row>
    <row r="34" spans="1:9" x14ac:dyDescent="0.45">
      <c r="A34" t="s">
        <v>8</v>
      </c>
      <c r="B34">
        <v>96</v>
      </c>
      <c r="C34">
        <v>43200</v>
      </c>
      <c r="D34">
        <v>0.37859999999999999</v>
      </c>
      <c r="E34">
        <v>1073.4449999999999</v>
      </c>
      <c r="F34">
        <v>1462.9222</v>
      </c>
      <c r="G34">
        <v>596258</v>
      </c>
      <c r="H34">
        <v>0</v>
      </c>
      <c r="I34">
        <f t="shared" si="0"/>
        <v>596258</v>
      </c>
    </row>
    <row r="35" spans="1:9" x14ac:dyDescent="0.45">
      <c r="A35" t="s">
        <v>8</v>
      </c>
      <c r="B35">
        <v>126</v>
      </c>
      <c r="C35">
        <v>43200</v>
      </c>
      <c r="D35">
        <v>0.3281</v>
      </c>
      <c r="E35">
        <v>1469.6771000000001</v>
      </c>
      <c r="F35">
        <v>1714.8121000000001</v>
      </c>
      <c r="G35">
        <v>705764</v>
      </c>
      <c r="H35">
        <v>0</v>
      </c>
      <c r="I35">
        <f t="shared" si="0"/>
        <v>705764</v>
      </c>
    </row>
    <row r="36" spans="1:9" x14ac:dyDescent="0.45">
      <c r="A36" t="s">
        <v>8</v>
      </c>
      <c r="B36">
        <v>156</v>
      </c>
      <c r="C36">
        <v>43200</v>
      </c>
      <c r="D36">
        <v>0.31169999999999998</v>
      </c>
      <c r="E36">
        <v>1747.4464</v>
      </c>
      <c r="F36">
        <v>1489.4920999999999</v>
      </c>
      <c r="G36">
        <v>798674</v>
      </c>
      <c r="H36">
        <v>0</v>
      </c>
      <c r="I36">
        <f t="shared" si="0"/>
        <v>798674</v>
      </c>
    </row>
    <row r="37" spans="1:9" x14ac:dyDescent="0.45">
      <c r="A37" t="s">
        <v>8</v>
      </c>
      <c r="B37">
        <v>36</v>
      </c>
      <c r="C37">
        <v>86400</v>
      </c>
      <c r="D37">
        <v>0.50170000000000003</v>
      </c>
      <c r="E37">
        <v>713.86260000000004</v>
      </c>
      <c r="F37">
        <v>1493.9074000000001</v>
      </c>
      <c r="G37">
        <v>1051674</v>
      </c>
      <c r="H37">
        <v>0</v>
      </c>
      <c r="I37">
        <f t="shared" si="0"/>
        <v>1051674</v>
      </c>
    </row>
    <row r="38" spans="1:9" x14ac:dyDescent="0.45">
      <c r="A38" t="s">
        <v>8</v>
      </c>
      <c r="B38">
        <v>66</v>
      </c>
      <c r="C38">
        <v>86400</v>
      </c>
      <c r="D38">
        <v>0.41360000000000002</v>
      </c>
      <c r="E38">
        <v>899.01400000000001</v>
      </c>
      <c r="F38">
        <v>1662.7746999999999</v>
      </c>
      <c r="G38">
        <v>1090834</v>
      </c>
      <c r="H38">
        <v>0</v>
      </c>
      <c r="I38">
        <f t="shared" si="0"/>
        <v>1090834</v>
      </c>
    </row>
    <row r="39" spans="1:9" x14ac:dyDescent="0.45">
      <c r="A39" t="s">
        <v>8</v>
      </c>
      <c r="B39">
        <v>96</v>
      </c>
      <c r="C39">
        <v>86400</v>
      </c>
      <c r="D39">
        <v>0.38140000000000002</v>
      </c>
      <c r="E39">
        <v>1122.0832</v>
      </c>
      <c r="F39">
        <v>1619.0011999999999</v>
      </c>
      <c r="G39">
        <v>1256443</v>
      </c>
      <c r="H39">
        <v>0</v>
      </c>
      <c r="I39">
        <f t="shared" si="0"/>
        <v>1256443</v>
      </c>
    </row>
    <row r="40" spans="1:9" x14ac:dyDescent="0.45">
      <c r="A40" t="s">
        <v>8</v>
      </c>
      <c r="B40">
        <v>126</v>
      </c>
      <c r="C40">
        <v>86400</v>
      </c>
      <c r="D40">
        <v>0.33779999999999999</v>
      </c>
      <c r="E40">
        <v>1426.3320000000001</v>
      </c>
      <c r="F40">
        <v>1632.3628000000001</v>
      </c>
      <c r="G40">
        <v>1410947</v>
      </c>
      <c r="H40">
        <v>0</v>
      </c>
      <c r="I40">
        <f t="shared" si="0"/>
        <v>1410947</v>
      </c>
    </row>
    <row r="41" spans="1:9" x14ac:dyDescent="0.45">
      <c r="A41" t="s">
        <v>8</v>
      </c>
      <c r="B41">
        <v>156</v>
      </c>
      <c r="C41">
        <v>86400</v>
      </c>
      <c r="D41">
        <v>0.313</v>
      </c>
      <c r="E41">
        <v>1766.7131999999999</v>
      </c>
      <c r="F41">
        <v>1557.3169</v>
      </c>
      <c r="G41">
        <v>1621670</v>
      </c>
      <c r="H41">
        <v>0</v>
      </c>
      <c r="I41">
        <f t="shared" si="0"/>
        <v>1621670</v>
      </c>
    </row>
    <row r="42" spans="1:9" x14ac:dyDescent="0.45">
      <c r="A42" t="s">
        <v>8</v>
      </c>
      <c r="B42">
        <v>36</v>
      </c>
      <c r="C42">
        <v>172800</v>
      </c>
      <c r="D42">
        <v>0.49199999999999999</v>
      </c>
      <c r="E42">
        <v>743.66399999999999</v>
      </c>
      <c r="F42">
        <v>1526.9867999999999</v>
      </c>
      <c r="G42">
        <v>2150001</v>
      </c>
      <c r="H42">
        <v>0</v>
      </c>
      <c r="I42">
        <f t="shared" si="0"/>
        <v>2150001</v>
      </c>
    </row>
    <row r="43" spans="1:9" x14ac:dyDescent="0.45">
      <c r="A43" t="s">
        <v>8</v>
      </c>
      <c r="B43">
        <v>66</v>
      </c>
      <c r="C43">
        <v>172800</v>
      </c>
      <c r="D43">
        <v>0.41560000000000002</v>
      </c>
      <c r="E43">
        <v>917.38030000000003</v>
      </c>
      <c r="F43">
        <v>1658.7697000000001</v>
      </c>
      <c r="G43">
        <v>2558105</v>
      </c>
      <c r="H43">
        <v>0</v>
      </c>
      <c r="I43">
        <f t="shared" si="0"/>
        <v>2558105</v>
      </c>
    </row>
    <row r="44" spans="1:9" x14ac:dyDescent="0.45">
      <c r="A44" t="s">
        <v>8</v>
      </c>
      <c r="B44">
        <v>96</v>
      </c>
      <c r="C44">
        <v>172800</v>
      </c>
      <c r="D44">
        <v>0.3669</v>
      </c>
      <c r="E44">
        <v>1189.7707</v>
      </c>
      <c r="F44">
        <v>1673.5386000000001</v>
      </c>
      <c r="G44">
        <v>2238853</v>
      </c>
      <c r="H44">
        <v>0</v>
      </c>
      <c r="I44">
        <f t="shared" si="0"/>
        <v>2238853</v>
      </c>
    </row>
    <row r="45" spans="1:9" x14ac:dyDescent="0.45">
      <c r="A45" t="s">
        <v>8</v>
      </c>
      <c r="B45">
        <v>126</v>
      </c>
      <c r="C45">
        <v>172800</v>
      </c>
      <c r="D45">
        <v>0.34229999999999999</v>
      </c>
      <c r="E45">
        <v>1429.4684999999999</v>
      </c>
      <c r="F45">
        <v>1649.5353</v>
      </c>
      <c r="G45">
        <v>3250823</v>
      </c>
      <c r="H45">
        <v>0</v>
      </c>
      <c r="I45">
        <f t="shared" si="0"/>
        <v>3250823</v>
      </c>
    </row>
    <row r="46" spans="1:9" x14ac:dyDescent="0.45">
      <c r="A46" t="s">
        <v>8</v>
      </c>
      <c r="B46">
        <v>156</v>
      </c>
      <c r="C46">
        <v>172800</v>
      </c>
      <c r="D46">
        <v>0.30330000000000001</v>
      </c>
      <c r="E46">
        <v>1823.8235999999999</v>
      </c>
      <c r="F46">
        <v>1605.9306999999999</v>
      </c>
      <c r="G46">
        <v>2866438</v>
      </c>
      <c r="H46">
        <v>0</v>
      </c>
      <c r="I46">
        <f t="shared" si="0"/>
        <v>2866438</v>
      </c>
    </row>
    <row r="47" spans="1:9" x14ac:dyDescent="0.45">
      <c r="A47" t="s">
        <v>9</v>
      </c>
      <c r="B47">
        <v>36</v>
      </c>
      <c r="C47">
        <v>43200</v>
      </c>
      <c r="D47">
        <v>0.56510000000000005</v>
      </c>
      <c r="E47">
        <v>0.74550000000000005</v>
      </c>
      <c r="F47">
        <v>2744.7991999999999</v>
      </c>
      <c r="G47">
        <v>1527</v>
      </c>
      <c r="H47">
        <v>200</v>
      </c>
      <c r="I47">
        <f t="shared" si="0"/>
        <v>1727</v>
      </c>
    </row>
    <row r="48" spans="1:9" x14ac:dyDescent="0.45">
      <c r="A48" t="s">
        <v>9</v>
      </c>
      <c r="B48">
        <v>66</v>
      </c>
      <c r="C48">
        <v>43200</v>
      </c>
      <c r="D48">
        <v>0.65780000000000005</v>
      </c>
      <c r="E48">
        <v>1.0083</v>
      </c>
      <c r="F48">
        <v>3364.2058999999999</v>
      </c>
      <c r="G48">
        <v>1699</v>
      </c>
      <c r="H48">
        <v>247</v>
      </c>
      <c r="I48">
        <f t="shared" si="0"/>
        <v>1946</v>
      </c>
    </row>
    <row r="49" spans="1:9" x14ac:dyDescent="0.45">
      <c r="A49" t="s">
        <v>9</v>
      </c>
      <c r="B49">
        <v>96</v>
      </c>
      <c r="C49">
        <v>43200</v>
      </c>
      <c r="D49">
        <v>0.69369999999999998</v>
      </c>
      <c r="E49">
        <v>1.3874</v>
      </c>
      <c r="F49">
        <v>3836.4259999999999</v>
      </c>
      <c r="G49">
        <v>1890</v>
      </c>
      <c r="H49">
        <v>356</v>
      </c>
      <c r="I49">
        <f t="shared" si="0"/>
        <v>2246</v>
      </c>
    </row>
    <row r="50" spans="1:9" x14ac:dyDescent="0.45">
      <c r="A50" t="s">
        <v>9</v>
      </c>
      <c r="B50">
        <v>126</v>
      </c>
      <c r="C50">
        <v>43200</v>
      </c>
      <c r="D50">
        <v>0.74229999999999996</v>
      </c>
      <c r="E50">
        <v>1.8849</v>
      </c>
      <c r="F50">
        <v>4164.4308000000001</v>
      </c>
      <c r="G50">
        <v>2316</v>
      </c>
      <c r="H50">
        <v>442</v>
      </c>
      <c r="I50">
        <f t="shared" si="0"/>
        <v>2758</v>
      </c>
    </row>
    <row r="51" spans="1:9" x14ac:dyDescent="0.45">
      <c r="A51" t="s">
        <v>9</v>
      </c>
      <c r="B51">
        <v>156</v>
      </c>
      <c r="C51">
        <v>43200</v>
      </c>
      <c r="D51">
        <v>0.74219999999999997</v>
      </c>
      <c r="E51">
        <v>2.5956000000000001</v>
      </c>
      <c r="F51">
        <v>4309.4247999999998</v>
      </c>
      <c r="G51">
        <v>2728</v>
      </c>
      <c r="H51">
        <v>638</v>
      </c>
      <c r="I51">
        <f t="shared" si="0"/>
        <v>3366</v>
      </c>
    </row>
    <row r="52" spans="1:9" x14ac:dyDescent="0.45">
      <c r="A52" t="s">
        <v>9</v>
      </c>
      <c r="B52">
        <v>36</v>
      </c>
      <c r="C52">
        <v>86400</v>
      </c>
      <c r="D52">
        <v>0.59899999999999998</v>
      </c>
      <c r="E52">
        <v>0.71789999999999998</v>
      </c>
      <c r="F52">
        <v>2825.1462000000001</v>
      </c>
      <c r="G52">
        <v>3431</v>
      </c>
      <c r="H52">
        <v>420</v>
      </c>
      <c r="I52">
        <f t="shared" si="0"/>
        <v>3851</v>
      </c>
    </row>
    <row r="53" spans="1:9" x14ac:dyDescent="0.45">
      <c r="A53" t="s">
        <v>9</v>
      </c>
      <c r="B53">
        <v>66</v>
      </c>
      <c r="C53">
        <v>86400</v>
      </c>
      <c r="D53">
        <v>0.68310000000000004</v>
      </c>
      <c r="E53">
        <v>0.96750000000000003</v>
      </c>
      <c r="F53">
        <v>3547.0443</v>
      </c>
      <c r="G53">
        <v>3792</v>
      </c>
      <c r="H53">
        <v>571</v>
      </c>
      <c r="I53">
        <f t="shared" si="0"/>
        <v>4363</v>
      </c>
    </row>
    <row r="54" spans="1:9" x14ac:dyDescent="0.45">
      <c r="A54" t="s">
        <v>9</v>
      </c>
      <c r="B54">
        <v>96</v>
      </c>
      <c r="C54">
        <v>86400</v>
      </c>
      <c r="D54">
        <v>0.73870000000000002</v>
      </c>
      <c r="E54">
        <v>1.3048</v>
      </c>
      <c r="F54">
        <v>4092.5704999999998</v>
      </c>
      <c r="G54">
        <v>4477</v>
      </c>
      <c r="H54">
        <v>664</v>
      </c>
      <c r="I54">
        <f t="shared" si="0"/>
        <v>5141</v>
      </c>
    </row>
    <row r="55" spans="1:9" x14ac:dyDescent="0.45">
      <c r="A55" t="s">
        <v>9</v>
      </c>
      <c r="B55">
        <v>126</v>
      </c>
      <c r="C55">
        <v>86400</v>
      </c>
      <c r="D55">
        <v>0.77610000000000001</v>
      </c>
      <c r="E55">
        <v>1.7810999999999999</v>
      </c>
      <c r="F55">
        <v>4351.3064000000004</v>
      </c>
      <c r="G55">
        <v>5262</v>
      </c>
      <c r="H55">
        <v>956</v>
      </c>
      <c r="I55">
        <f t="shared" si="0"/>
        <v>6218</v>
      </c>
    </row>
    <row r="56" spans="1:9" x14ac:dyDescent="0.45">
      <c r="A56" t="s">
        <v>9</v>
      </c>
      <c r="B56">
        <v>156</v>
      </c>
      <c r="C56">
        <v>86400</v>
      </c>
      <c r="D56">
        <v>0.78569999999999995</v>
      </c>
      <c r="E56">
        <v>2.4413999999999998</v>
      </c>
      <c r="F56">
        <v>4422.3208000000004</v>
      </c>
      <c r="G56">
        <v>6371</v>
      </c>
      <c r="H56">
        <v>1295</v>
      </c>
      <c r="I56">
        <f t="shared" si="0"/>
        <v>7666</v>
      </c>
    </row>
    <row r="57" spans="1:9" x14ac:dyDescent="0.45">
      <c r="A57" t="s">
        <v>9</v>
      </c>
      <c r="B57">
        <v>36</v>
      </c>
      <c r="C57">
        <v>172800</v>
      </c>
      <c r="D57">
        <v>0.61619999999999997</v>
      </c>
      <c r="E57">
        <v>0.70569999999999999</v>
      </c>
      <c r="F57">
        <v>2824.4200999999998</v>
      </c>
      <c r="G57">
        <v>7272</v>
      </c>
      <c r="H57">
        <v>775</v>
      </c>
      <c r="I57">
        <f t="shared" si="0"/>
        <v>8047</v>
      </c>
    </row>
    <row r="58" spans="1:9" x14ac:dyDescent="0.45">
      <c r="A58" t="s">
        <v>9</v>
      </c>
      <c r="B58">
        <v>66</v>
      </c>
      <c r="C58">
        <v>172800</v>
      </c>
      <c r="D58">
        <v>0.69720000000000004</v>
      </c>
      <c r="E58">
        <v>0.90869999999999995</v>
      </c>
      <c r="F58">
        <v>3617.7579000000001</v>
      </c>
      <c r="G58">
        <v>8138</v>
      </c>
      <c r="H58">
        <v>960</v>
      </c>
      <c r="I58">
        <f t="shared" si="0"/>
        <v>9098</v>
      </c>
    </row>
    <row r="59" spans="1:9" x14ac:dyDescent="0.45">
      <c r="A59" t="s">
        <v>9</v>
      </c>
      <c r="B59">
        <v>96</v>
      </c>
      <c r="C59">
        <v>172800</v>
      </c>
      <c r="D59">
        <v>0.75590000000000002</v>
      </c>
      <c r="E59">
        <v>1.3078000000000001</v>
      </c>
      <c r="F59">
        <v>4197.4673000000003</v>
      </c>
      <c r="G59">
        <v>9641</v>
      </c>
      <c r="H59">
        <v>1379</v>
      </c>
      <c r="I59">
        <f t="shared" si="0"/>
        <v>11020</v>
      </c>
    </row>
    <row r="60" spans="1:9" x14ac:dyDescent="0.45">
      <c r="A60" t="s">
        <v>9</v>
      </c>
      <c r="B60">
        <v>126</v>
      </c>
      <c r="C60">
        <v>172800</v>
      </c>
      <c r="D60">
        <v>0.79420000000000002</v>
      </c>
      <c r="E60">
        <v>1.8352999999999999</v>
      </c>
      <c r="F60">
        <v>4396.5096999999996</v>
      </c>
      <c r="G60">
        <v>11673</v>
      </c>
      <c r="H60">
        <v>1940</v>
      </c>
      <c r="I60">
        <f t="shared" si="0"/>
        <v>13613</v>
      </c>
    </row>
    <row r="61" spans="1:9" x14ac:dyDescent="0.45">
      <c r="A61" t="s">
        <v>9</v>
      </c>
      <c r="B61">
        <v>156</v>
      </c>
      <c r="C61">
        <v>172800</v>
      </c>
      <c r="D61">
        <v>0.80200000000000005</v>
      </c>
      <c r="E61">
        <v>2.4761000000000002</v>
      </c>
      <c r="F61">
        <v>4667.3618999999999</v>
      </c>
      <c r="G61">
        <v>13870</v>
      </c>
      <c r="H61">
        <v>2739</v>
      </c>
      <c r="I61">
        <f t="shared" si="0"/>
        <v>16609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AFEC-A6C4-4DDF-A353-4D49EA235F05}">
  <dimension ref="A1:I61"/>
  <sheetViews>
    <sheetView topLeftCell="D1" workbookViewId="0">
      <selection activeCell="J43" sqref="J43"/>
    </sheetView>
  </sheetViews>
  <sheetFormatPr defaultRowHeight="14.25" x14ac:dyDescent="0.45"/>
  <cols>
    <col min="1" max="1" width="14.3984375" customWidth="1"/>
    <col min="4" max="4" width="17.19921875" customWidth="1"/>
    <col min="5" max="5" width="15.46484375" customWidth="1"/>
    <col min="6" max="6" width="16.9296875" customWidth="1"/>
    <col min="7" max="7" width="19.73046875" customWidth="1"/>
    <col min="8" max="8" width="17.6640625" customWidth="1"/>
    <col min="9" max="9" width="26.0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20</v>
      </c>
      <c r="H1" t="s">
        <v>21</v>
      </c>
      <c r="I1" t="s">
        <v>22</v>
      </c>
    </row>
    <row r="2" spans="1:9" x14ac:dyDescent="0.45">
      <c r="A2" t="s">
        <v>3</v>
      </c>
      <c r="B2">
        <v>36</v>
      </c>
      <c r="C2">
        <v>43200</v>
      </c>
      <c r="D2">
        <v>0.30199999999999999</v>
      </c>
      <c r="E2">
        <v>552.51689999999996</v>
      </c>
      <c r="F2">
        <v>1060.3533</v>
      </c>
      <c r="G2">
        <v>245632</v>
      </c>
      <c r="H2">
        <v>0</v>
      </c>
      <c r="I2">
        <f t="shared" ref="I2:I61" si="0">G2+H2</f>
        <v>245632</v>
      </c>
    </row>
    <row r="3" spans="1:9" x14ac:dyDescent="0.45">
      <c r="A3" t="s">
        <v>3</v>
      </c>
      <c r="B3">
        <v>66</v>
      </c>
      <c r="C3">
        <v>43200</v>
      </c>
      <c r="D3">
        <v>0.25669999999999998</v>
      </c>
      <c r="E3">
        <v>617.05070000000001</v>
      </c>
      <c r="F3">
        <v>1261.76</v>
      </c>
      <c r="G3">
        <v>232074</v>
      </c>
      <c r="H3">
        <v>0</v>
      </c>
      <c r="I3">
        <f t="shared" si="0"/>
        <v>232074</v>
      </c>
    </row>
    <row r="4" spans="1:9" x14ac:dyDescent="0.45">
      <c r="A4" t="s">
        <v>3</v>
      </c>
      <c r="B4">
        <v>96</v>
      </c>
      <c r="C4">
        <v>43200</v>
      </c>
      <c r="D4">
        <v>0.23599999999999999</v>
      </c>
      <c r="E4">
        <v>818.72829999999999</v>
      </c>
      <c r="F4">
        <v>1271.8690999999999</v>
      </c>
      <c r="G4">
        <v>283728</v>
      </c>
      <c r="H4">
        <v>0</v>
      </c>
      <c r="I4">
        <f t="shared" si="0"/>
        <v>283728</v>
      </c>
    </row>
    <row r="5" spans="1:9" x14ac:dyDescent="0.45">
      <c r="A5" t="s">
        <v>3</v>
      </c>
      <c r="B5">
        <v>126</v>
      </c>
      <c r="C5">
        <v>43200</v>
      </c>
      <c r="D5">
        <v>0.22489999999999999</v>
      </c>
      <c r="E5">
        <v>1100.9574</v>
      </c>
      <c r="F5">
        <v>1044.2264</v>
      </c>
      <c r="G5">
        <v>362475</v>
      </c>
      <c r="H5">
        <v>0</v>
      </c>
      <c r="I5">
        <f t="shared" si="0"/>
        <v>362475</v>
      </c>
    </row>
    <row r="6" spans="1:9" x14ac:dyDescent="0.45">
      <c r="A6" t="s">
        <v>3</v>
      </c>
      <c r="B6">
        <v>156</v>
      </c>
      <c r="C6">
        <v>86400</v>
      </c>
      <c r="D6">
        <v>0.21210000000000001</v>
      </c>
      <c r="E6">
        <v>1450.4050999999999</v>
      </c>
      <c r="F6">
        <v>1215.8936000000001</v>
      </c>
      <c r="G6">
        <v>451113</v>
      </c>
      <c r="H6">
        <v>0</v>
      </c>
      <c r="I6">
        <f t="shared" si="0"/>
        <v>451113</v>
      </c>
    </row>
    <row r="7" spans="1:9" x14ac:dyDescent="0.45">
      <c r="A7" t="s">
        <v>3</v>
      </c>
      <c r="B7">
        <v>36</v>
      </c>
      <c r="C7">
        <v>86400</v>
      </c>
      <c r="D7">
        <v>0.28499999999999998</v>
      </c>
      <c r="E7">
        <v>535.38319999999999</v>
      </c>
      <c r="F7">
        <v>1107.2883999999999</v>
      </c>
      <c r="G7">
        <v>449369</v>
      </c>
      <c r="H7">
        <v>0</v>
      </c>
      <c r="I7">
        <f t="shared" si="0"/>
        <v>449369</v>
      </c>
    </row>
    <row r="8" spans="1:9" x14ac:dyDescent="0.45">
      <c r="A8" t="s">
        <v>3</v>
      </c>
      <c r="B8">
        <v>66</v>
      </c>
      <c r="C8">
        <v>86400</v>
      </c>
      <c r="D8">
        <v>0.25169999999999998</v>
      </c>
      <c r="E8">
        <v>655.82770000000005</v>
      </c>
      <c r="F8">
        <v>1321.1745000000001</v>
      </c>
      <c r="G8">
        <v>485467</v>
      </c>
      <c r="H8">
        <v>0</v>
      </c>
      <c r="I8">
        <f t="shared" si="0"/>
        <v>485467</v>
      </c>
    </row>
    <row r="9" spans="1:9" x14ac:dyDescent="0.45">
      <c r="A9" t="s">
        <v>3</v>
      </c>
      <c r="B9">
        <v>96</v>
      </c>
      <c r="C9">
        <v>86400</v>
      </c>
      <c r="D9">
        <v>0.23169999999999999</v>
      </c>
      <c r="E9">
        <v>877.23270000000002</v>
      </c>
      <c r="F9">
        <v>1318.6007</v>
      </c>
      <c r="G9">
        <v>597589</v>
      </c>
      <c r="H9">
        <v>0</v>
      </c>
      <c r="I9">
        <f t="shared" si="0"/>
        <v>597589</v>
      </c>
    </row>
    <row r="10" spans="1:9" x14ac:dyDescent="0.45">
      <c r="A10" t="s">
        <v>3</v>
      </c>
      <c r="B10">
        <v>126</v>
      </c>
      <c r="C10">
        <v>86400</v>
      </c>
      <c r="D10">
        <v>0.21609999999999999</v>
      </c>
      <c r="E10">
        <v>1181.1313</v>
      </c>
      <c r="F10">
        <v>1153.6394</v>
      </c>
      <c r="G10">
        <v>748219</v>
      </c>
      <c r="H10">
        <v>0</v>
      </c>
      <c r="I10">
        <f t="shared" si="0"/>
        <v>748219</v>
      </c>
    </row>
    <row r="11" spans="1:9" x14ac:dyDescent="0.45">
      <c r="A11" t="s">
        <v>3</v>
      </c>
      <c r="B11">
        <v>156</v>
      </c>
      <c r="C11">
        <v>172800</v>
      </c>
      <c r="D11">
        <v>0.20100000000000001</v>
      </c>
      <c r="E11">
        <v>1568.9812999999999</v>
      </c>
      <c r="F11">
        <v>1337.3210999999999</v>
      </c>
      <c r="G11">
        <v>925673</v>
      </c>
      <c r="H11">
        <v>0</v>
      </c>
      <c r="I11">
        <f t="shared" si="0"/>
        <v>925673</v>
      </c>
    </row>
    <row r="12" spans="1:9" x14ac:dyDescent="0.45">
      <c r="A12" t="s">
        <v>3</v>
      </c>
      <c r="B12">
        <v>36</v>
      </c>
      <c r="C12">
        <v>172800</v>
      </c>
      <c r="D12">
        <v>0.29609999999999997</v>
      </c>
      <c r="E12">
        <v>496.83120000000002</v>
      </c>
      <c r="F12">
        <v>1210.8569</v>
      </c>
      <c r="G12">
        <v>867758</v>
      </c>
      <c r="H12">
        <v>0</v>
      </c>
      <c r="I12">
        <f t="shared" si="0"/>
        <v>867758</v>
      </c>
    </row>
    <row r="13" spans="1:9" x14ac:dyDescent="0.45">
      <c r="A13" t="s">
        <v>3</v>
      </c>
      <c r="B13">
        <v>66</v>
      </c>
      <c r="C13">
        <v>172800</v>
      </c>
      <c r="D13">
        <v>0.25140000000000001</v>
      </c>
      <c r="E13">
        <v>678.36860000000001</v>
      </c>
      <c r="F13">
        <v>1298.6441</v>
      </c>
      <c r="G13">
        <v>1004337</v>
      </c>
      <c r="H13">
        <v>0</v>
      </c>
      <c r="I13">
        <f t="shared" si="0"/>
        <v>1004337</v>
      </c>
    </row>
    <row r="14" spans="1:9" x14ac:dyDescent="0.45">
      <c r="A14" t="s">
        <v>3</v>
      </c>
      <c r="B14">
        <v>96</v>
      </c>
      <c r="C14">
        <v>172800</v>
      </c>
      <c r="D14">
        <v>0.2339</v>
      </c>
      <c r="E14">
        <v>875.74490000000003</v>
      </c>
      <c r="F14">
        <v>1304.6643999999999</v>
      </c>
      <c r="G14">
        <v>1202824</v>
      </c>
      <c r="H14">
        <v>0</v>
      </c>
      <c r="I14">
        <f t="shared" si="0"/>
        <v>1202824</v>
      </c>
    </row>
    <row r="15" spans="1:9" x14ac:dyDescent="0.45">
      <c r="A15" t="s">
        <v>3</v>
      </c>
      <c r="B15">
        <v>126</v>
      </c>
      <c r="C15">
        <v>172800</v>
      </c>
      <c r="D15">
        <v>0.20860000000000001</v>
      </c>
      <c r="E15">
        <v>1223.8746000000001</v>
      </c>
      <c r="F15">
        <v>1180.3556000000001</v>
      </c>
      <c r="G15">
        <v>1497776</v>
      </c>
      <c r="H15">
        <v>0</v>
      </c>
      <c r="I15">
        <f t="shared" si="0"/>
        <v>1497776</v>
      </c>
    </row>
    <row r="16" spans="1:9" x14ac:dyDescent="0.45">
      <c r="A16" t="s">
        <v>3</v>
      </c>
      <c r="B16">
        <v>156</v>
      </c>
      <c r="C16">
        <v>172800</v>
      </c>
      <c r="D16">
        <v>0.19370000000000001</v>
      </c>
      <c r="E16">
        <v>1656.4292</v>
      </c>
      <c r="F16">
        <v>1307.4150999999999</v>
      </c>
      <c r="G16">
        <v>1887771</v>
      </c>
      <c r="H16">
        <v>0</v>
      </c>
      <c r="I16">
        <f t="shared" si="0"/>
        <v>1887771</v>
      </c>
    </row>
    <row r="17" spans="1:9" x14ac:dyDescent="0.45">
      <c r="A17" t="s">
        <v>7</v>
      </c>
      <c r="B17">
        <v>36</v>
      </c>
      <c r="C17">
        <v>43200</v>
      </c>
      <c r="D17">
        <v>0.3926</v>
      </c>
      <c r="E17">
        <v>23.1875</v>
      </c>
      <c r="F17">
        <v>1387.4502</v>
      </c>
      <c r="G17">
        <v>821</v>
      </c>
      <c r="H17">
        <v>13932</v>
      </c>
      <c r="I17">
        <f t="shared" si="0"/>
        <v>14753</v>
      </c>
    </row>
    <row r="18" spans="1:9" x14ac:dyDescent="0.45">
      <c r="A18" t="s">
        <v>7</v>
      </c>
      <c r="B18">
        <v>66</v>
      </c>
      <c r="C18">
        <v>43200</v>
      </c>
      <c r="D18">
        <v>0.38740000000000002</v>
      </c>
      <c r="E18">
        <v>45.976999999999997</v>
      </c>
      <c r="F18">
        <v>2222.4693000000002</v>
      </c>
      <c r="G18">
        <v>804</v>
      </c>
      <c r="H18">
        <v>26589</v>
      </c>
      <c r="I18">
        <f t="shared" si="0"/>
        <v>27393</v>
      </c>
    </row>
    <row r="19" spans="1:9" x14ac:dyDescent="0.45">
      <c r="A19" t="s">
        <v>7</v>
      </c>
      <c r="B19">
        <v>96</v>
      </c>
      <c r="C19">
        <v>43200</v>
      </c>
      <c r="D19">
        <v>0.4168</v>
      </c>
      <c r="E19">
        <v>64.577699999999993</v>
      </c>
      <c r="F19">
        <v>2618.3858</v>
      </c>
      <c r="G19">
        <v>740</v>
      </c>
      <c r="H19">
        <v>40068</v>
      </c>
      <c r="I19">
        <f t="shared" si="0"/>
        <v>40808</v>
      </c>
    </row>
    <row r="20" spans="1:9" x14ac:dyDescent="0.45">
      <c r="A20" t="s">
        <v>7</v>
      </c>
      <c r="B20">
        <v>126</v>
      </c>
      <c r="C20">
        <v>43200</v>
      </c>
      <c r="D20">
        <v>0.46550000000000002</v>
      </c>
      <c r="E20">
        <v>82.455200000000005</v>
      </c>
      <c r="F20">
        <v>2843.2379000000001</v>
      </c>
      <c r="G20">
        <v>658</v>
      </c>
      <c r="H20">
        <v>56833</v>
      </c>
      <c r="I20">
        <f t="shared" si="0"/>
        <v>57491</v>
      </c>
    </row>
    <row r="21" spans="1:9" x14ac:dyDescent="0.45">
      <c r="A21" t="s">
        <v>7</v>
      </c>
      <c r="B21">
        <v>156</v>
      </c>
      <c r="C21">
        <v>43200</v>
      </c>
      <c r="D21">
        <v>0.46589999999999998</v>
      </c>
      <c r="E21">
        <v>101.6515</v>
      </c>
      <c r="F21">
        <v>3033.5758000000001</v>
      </c>
      <c r="G21">
        <v>632</v>
      </c>
      <c r="H21">
        <v>70111</v>
      </c>
      <c r="I21">
        <f t="shared" si="0"/>
        <v>70743</v>
      </c>
    </row>
    <row r="22" spans="1:9" x14ac:dyDescent="0.45">
      <c r="A22" t="s">
        <v>7</v>
      </c>
      <c r="B22">
        <v>36</v>
      </c>
      <c r="C22">
        <v>86400</v>
      </c>
      <c r="D22">
        <v>0.39350000000000002</v>
      </c>
      <c r="E22">
        <v>23.507400000000001</v>
      </c>
      <c r="F22">
        <v>1446.932</v>
      </c>
      <c r="G22">
        <v>1693</v>
      </c>
      <c r="H22">
        <v>28257</v>
      </c>
      <c r="I22">
        <f t="shared" si="0"/>
        <v>29950</v>
      </c>
    </row>
    <row r="23" spans="1:9" x14ac:dyDescent="0.45">
      <c r="A23" t="s">
        <v>7</v>
      </c>
      <c r="B23">
        <v>66</v>
      </c>
      <c r="C23">
        <v>86400</v>
      </c>
      <c r="D23">
        <v>0.39960000000000001</v>
      </c>
      <c r="E23">
        <v>45.112000000000002</v>
      </c>
      <c r="F23">
        <v>2306.2258000000002</v>
      </c>
      <c r="G23">
        <v>1666</v>
      </c>
      <c r="H23">
        <v>53951</v>
      </c>
      <c r="I23">
        <f t="shared" si="0"/>
        <v>55617</v>
      </c>
    </row>
    <row r="24" spans="1:9" x14ac:dyDescent="0.45">
      <c r="A24" t="s">
        <v>7</v>
      </c>
      <c r="B24">
        <v>96</v>
      </c>
      <c r="C24">
        <v>86400</v>
      </c>
      <c r="D24">
        <v>0.43769999999999998</v>
      </c>
      <c r="E24">
        <v>63.551099999999998</v>
      </c>
      <c r="F24">
        <v>2712.9414000000002</v>
      </c>
      <c r="G24">
        <v>1524</v>
      </c>
      <c r="H24">
        <v>82819</v>
      </c>
      <c r="I24">
        <f t="shared" si="0"/>
        <v>84343</v>
      </c>
    </row>
    <row r="25" spans="1:9" x14ac:dyDescent="0.45">
      <c r="A25" t="s">
        <v>7</v>
      </c>
      <c r="B25">
        <v>126</v>
      </c>
      <c r="C25">
        <v>86400</v>
      </c>
      <c r="D25">
        <v>0.4708</v>
      </c>
      <c r="E25">
        <v>81.986199999999997</v>
      </c>
      <c r="F25">
        <v>2944.6361000000002</v>
      </c>
      <c r="G25">
        <v>1403</v>
      </c>
      <c r="H25">
        <v>114272</v>
      </c>
      <c r="I25">
        <f t="shared" si="0"/>
        <v>115675</v>
      </c>
    </row>
    <row r="26" spans="1:9" x14ac:dyDescent="0.45">
      <c r="A26" t="s">
        <v>7</v>
      </c>
      <c r="B26">
        <v>156</v>
      </c>
      <c r="C26">
        <v>86400</v>
      </c>
      <c r="D26">
        <v>0.48430000000000001</v>
      </c>
      <c r="E26">
        <v>102.229</v>
      </c>
      <c r="F26">
        <v>3327.9740000000002</v>
      </c>
      <c r="G26">
        <v>1358</v>
      </c>
      <c r="H26">
        <v>146482</v>
      </c>
      <c r="I26">
        <f t="shared" si="0"/>
        <v>147840</v>
      </c>
    </row>
    <row r="27" spans="1:9" x14ac:dyDescent="0.45">
      <c r="A27" t="s">
        <v>7</v>
      </c>
      <c r="B27">
        <v>36</v>
      </c>
      <c r="C27">
        <v>172800</v>
      </c>
      <c r="D27">
        <v>0.40039999999999998</v>
      </c>
      <c r="E27">
        <v>23.144400000000001</v>
      </c>
      <c r="F27">
        <v>1532.1034999999999</v>
      </c>
      <c r="G27">
        <v>3440</v>
      </c>
      <c r="H27">
        <v>56667</v>
      </c>
      <c r="I27">
        <f t="shared" si="0"/>
        <v>60107</v>
      </c>
    </row>
    <row r="28" spans="1:9" x14ac:dyDescent="0.45">
      <c r="A28" t="s">
        <v>7</v>
      </c>
      <c r="B28">
        <v>66</v>
      </c>
      <c r="C28">
        <v>172800</v>
      </c>
      <c r="D28">
        <v>0.41049999999999998</v>
      </c>
      <c r="E28">
        <v>44.167200000000001</v>
      </c>
      <c r="F28">
        <v>2246.6824999999999</v>
      </c>
      <c r="G28">
        <v>3358</v>
      </c>
      <c r="H28">
        <v>108627</v>
      </c>
      <c r="I28">
        <f t="shared" si="0"/>
        <v>111985</v>
      </c>
    </row>
    <row r="29" spans="1:9" x14ac:dyDescent="0.45">
      <c r="A29" t="s">
        <v>7</v>
      </c>
      <c r="B29">
        <v>96</v>
      </c>
      <c r="C29">
        <v>172800</v>
      </c>
      <c r="D29">
        <v>0.44130000000000003</v>
      </c>
      <c r="E29">
        <v>63.909700000000001</v>
      </c>
      <c r="F29">
        <v>2795.5304999999998</v>
      </c>
      <c r="G29">
        <v>3145</v>
      </c>
      <c r="H29">
        <v>167532</v>
      </c>
      <c r="I29">
        <f t="shared" si="0"/>
        <v>170677</v>
      </c>
    </row>
    <row r="30" spans="1:9" x14ac:dyDescent="0.45">
      <c r="A30" t="s">
        <v>7</v>
      </c>
      <c r="B30">
        <v>126</v>
      </c>
      <c r="C30">
        <v>172800</v>
      </c>
      <c r="D30">
        <v>0.47239999999999999</v>
      </c>
      <c r="E30">
        <v>82.744500000000002</v>
      </c>
      <c r="F30">
        <v>3074.5032000000001</v>
      </c>
      <c r="G30">
        <v>2946</v>
      </c>
      <c r="H30">
        <v>231386</v>
      </c>
      <c r="I30">
        <f t="shared" si="0"/>
        <v>234332</v>
      </c>
    </row>
    <row r="31" spans="1:9" x14ac:dyDescent="0.45">
      <c r="A31" t="s">
        <v>7</v>
      </c>
      <c r="B31">
        <v>156</v>
      </c>
      <c r="C31">
        <v>172800</v>
      </c>
      <c r="D31">
        <v>0.48530000000000001</v>
      </c>
      <c r="E31">
        <v>102.8434</v>
      </c>
      <c r="F31">
        <v>3358.0691999999999</v>
      </c>
      <c r="G31">
        <v>2877</v>
      </c>
      <c r="H31">
        <v>295746</v>
      </c>
      <c r="I31">
        <f t="shared" si="0"/>
        <v>298623</v>
      </c>
    </row>
    <row r="32" spans="1:9" x14ac:dyDescent="0.45">
      <c r="A32" t="s">
        <v>8</v>
      </c>
      <c r="B32">
        <v>36</v>
      </c>
      <c r="C32">
        <v>43200</v>
      </c>
      <c r="D32">
        <v>0.52149999999999996</v>
      </c>
      <c r="E32">
        <v>679.34900000000005</v>
      </c>
      <c r="F32">
        <v>1458.0757000000001</v>
      </c>
      <c r="G32">
        <v>520606</v>
      </c>
      <c r="H32">
        <v>0</v>
      </c>
      <c r="I32">
        <f t="shared" si="0"/>
        <v>520606</v>
      </c>
    </row>
    <row r="33" spans="1:9" x14ac:dyDescent="0.45">
      <c r="A33" t="s">
        <v>8</v>
      </c>
      <c r="B33">
        <v>66</v>
      </c>
      <c r="C33">
        <v>43200</v>
      </c>
      <c r="D33">
        <v>0.41889999999999999</v>
      </c>
      <c r="E33">
        <v>888.01959999999997</v>
      </c>
      <c r="F33">
        <v>1557.6727000000001</v>
      </c>
      <c r="G33">
        <v>544176</v>
      </c>
      <c r="H33">
        <v>0</v>
      </c>
      <c r="I33">
        <f t="shared" si="0"/>
        <v>544176</v>
      </c>
    </row>
    <row r="34" spans="1:9" x14ac:dyDescent="0.45">
      <c r="A34" t="s">
        <v>8</v>
      </c>
      <c r="B34">
        <v>96</v>
      </c>
      <c r="C34">
        <v>43200</v>
      </c>
      <c r="D34">
        <v>0.37309999999999999</v>
      </c>
      <c r="E34">
        <v>1095.7971</v>
      </c>
      <c r="F34">
        <v>1608.7569000000001</v>
      </c>
      <c r="G34">
        <v>599909</v>
      </c>
      <c r="H34">
        <v>0</v>
      </c>
      <c r="I34">
        <f t="shared" si="0"/>
        <v>599909</v>
      </c>
    </row>
    <row r="35" spans="1:9" x14ac:dyDescent="0.45">
      <c r="A35" t="s">
        <v>8</v>
      </c>
      <c r="B35">
        <v>126</v>
      </c>
      <c r="C35">
        <v>43200</v>
      </c>
      <c r="D35">
        <v>0.32329999999999998</v>
      </c>
      <c r="E35">
        <v>1411.1184000000001</v>
      </c>
      <c r="F35">
        <v>1525.3683000000001</v>
      </c>
      <c r="G35">
        <v>667796</v>
      </c>
      <c r="H35">
        <v>0</v>
      </c>
      <c r="I35">
        <f t="shared" si="0"/>
        <v>667796</v>
      </c>
    </row>
    <row r="36" spans="1:9" x14ac:dyDescent="0.45">
      <c r="A36" t="s">
        <v>8</v>
      </c>
      <c r="B36">
        <v>156</v>
      </c>
      <c r="C36">
        <v>43200</v>
      </c>
      <c r="D36">
        <v>0.3029</v>
      </c>
      <c r="E36">
        <v>1654.7657999999999</v>
      </c>
      <c r="F36">
        <v>1550.0202999999999</v>
      </c>
      <c r="G36">
        <v>734784</v>
      </c>
      <c r="H36">
        <v>0</v>
      </c>
      <c r="I36">
        <f t="shared" si="0"/>
        <v>734784</v>
      </c>
    </row>
    <row r="37" spans="1:9" x14ac:dyDescent="0.45">
      <c r="A37" t="s">
        <v>8</v>
      </c>
      <c r="B37">
        <v>36</v>
      </c>
      <c r="C37">
        <v>86400</v>
      </c>
      <c r="D37">
        <v>0.50409999999999999</v>
      </c>
      <c r="E37">
        <v>713.11099999999999</v>
      </c>
      <c r="F37">
        <v>1478.0251000000001</v>
      </c>
      <c r="G37">
        <v>1055584</v>
      </c>
      <c r="H37">
        <v>0</v>
      </c>
      <c r="I37">
        <f t="shared" si="0"/>
        <v>1055584</v>
      </c>
    </row>
    <row r="38" spans="1:9" x14ac:dyDescent="0.45">
      <c r="A38" t="s">
        <v>8</v>
      </c>
      <c r="B38">
        <v>66</v>
      </c>
      <c r="C38">
        <v>86400</v>
      </c>
      <c r="D38">
        <v>0.4088</v>
      </c>
      <c r="E38">
        <v>965.90890000000002</v>
      </c>
      <c r="F38">
        <v>1642.7945999999999</v>
      </c>
      <c r="G38">
        <v>1158320</v>
      </c>
      <c r="H38">
        <v>0</v>
      </c>
      <c r="I38">
        <f t="shared" si="0"/>
        <v>1158320</v>
      </c>
    </row>
    <row r="39" spans="1:9" x14ac:dyDescent="0.45">
      <c r="A39" t="s">
        <v>8</v>
      </c>
      <c r="B39">
        <v>96</v>
      </c>
      <c r="C39">
        <v>86400</v>
      </c>
      <c r="D39">
        <v>0.37669999999999998</v>
      </c>
      <c r="E39">
        <v>1138.6848</v>
      </c>
      <c r="F39">
        <v>1630.4395</v>
      </c>
      <c r="G39">
        <v>1259059</v>
      </c>
      <c r="H39">
        <v>0</v>
      </c>
      <c r="I39">
        <f t="shared" si="0"/>
        <v>1259059</v>
      </c>
    </row>
    <row r="40" spans="1:9" x14ac:dyDescent="0.45">
      <c r="A40" t="s">
        <v>8</v>
      </c>
      <c r="B40">
        <v>126</v>
      </c>
      <c r="C40">
        <v>86400</v>
      </c>
      <c r="D40">
        <v>0.33029999999999998</v>
      </c>
      <c r="E40">
        <v>1429.9627</v>
      </c>
      <c r="F40">
        <v>1574.8788999999999</v>
      </c>
      <c r="G40">
        <v>1383177</v>
      </c>
      <c r="H40">
        <v>0</v>
      </c>
      <c r="I40">
        <f t="shared" si="0"/>
        <v>1383177</v>
      </c>
    </row>
    <row r="41" spans="1:9" x14ac:dyDescent="0.45">
      <c r="A41" t="s">
        <v>8</v>
      </c>
      <c r="B41">
        <v>156</v>
      </c>
      <c r="C41">
        <v>86400</v>
      </c>
      <c r="D41">
        <v>0.30990000000000001</v>
      </c>
      <c r="E41">
        <v>1668.9119000000001</v>
      </c>
      <c r="F41">
        <v>1632.5735999999999</v>
      </c>
      <c r="G41">
        <v>1516942</v>
      </c>
      <c r="H41">
        <v>0</v>
      </c>
      <c r="I41">
        <f t="shared" si="0"/>
        <v>1516942</v>
      </c>
    </row>
    <row r="42" spans="1:9" x14ac:dyDescent="0.45">
      <c r="A42" t="s">
        <v>8</v>
      </c>
      <c r="B42">
        <v>36</v>
      </c>
      <c r="C42">
        <v>172800</v>
      </c>
      <c r="D42">
        <v>0.502</v>
      </c>
      <c r="E42">
        <v>728.29359999999997</v>
      </c>
      <c r="F42">
        <v>1543.2934</v>
      </c>
      <c r="G42">
        <v>2148614</v>
      </c>
      <c r="H42">
        <v>0</v>
      </c>
      <c r="I42">
        <f t="shared" si="0"/>
        <v>2148614</v>
      </c>
    </row>
    <row r="43" spans="1:9" x14ac:dyDescent="0.45">
      <c r="A43" t="s">
        <v>8</v>
      </c>
      <c r="B43">
        <v>66</v>
      </c>
      <c r="C43">
        <v>172800</v>
      </c>
      <c r="D43">
        <v>0.41099999999999998</v>
      </c>
      <c r="E43">
        <v>993.47670000000005</v>
      </c>
      <c r="F43">
        <v>1662.5274999999999</v>
      </c>
      <c r="G43">
        <v>2397347</v>
      </c>
      <c r="H43">
        <v>0</v>
      </c>
      <c r="I43">
        <f t="shared" si="0"/>
        <v>2397347</v>
      </c>
    </row>
    <row r="44" spans="1:9" x14ac:dyDescent="0.45">
      <c r="A44" t="s">
        <v>8</v>
      </c>
      <c r="B44">
        <v>96</v>
      </c>
      <c r="C44">
        <v>172800</v>
      </c>
      <c r="D44">
        <v>0.35370000000000001</v>
      </c>
      <c r="E44">
        <v>1235.1541999999999</v>
      </c>
      <c r="F44">
        <v>1689.3842999999999</v>
      </c>
      <c r="G44">
        <v>2560337</v>
      </c>
      <c r="H44">
        <v>0</v>
      </c>
      <c r="I44">
        <f t="shared" si="0"/>
        <v>2560337</v>
      </c>
    </row>
    <row r="45" spans="1:9" x14ac:dyDescent="0.45">
      <c r="A45" t="s">
        <v>8</v>
      </c>
      <c r="B45">
        <v>126</v>
      </c>
      <c r="C45">
        <v>172800</v>
      </c>
      <c r="D45">
        <v>0.33</v>
      </c>
      <c r="E45">
        <v>1463.1093000000001</v>
      </c>
      <c r="F45">
        <v>1639.9264000000001</v>
      </c>
      <c r="G45">
        <v>2828446</v>
      </c>
      <c r="H45">
        <v>0</v>
      </c>
      <c r="I45">
        <f t="shared" si="0"/>
        <v>2828446</v>
      </c>
    </row>
    <row r="46" spans="1:9" x14ac:dyDescent="0.45">
      <c r="A46" t="s">
        <v>8</v>
      </c>
      <c r="B46">
        <v>156</v>
      </c>
      <c r="C46">
        <v>172800</v>
      </c>
      <c r="D46">
        <v>0.30640000000000001</v>
      </c>
      <c r="E46">
        <v>1757.4166</v>
      </c>
      <c r="F46">
        <v>1671.9156</v>
      </c>
      <c r="G46">
        <v>3164264</v>
      </c>
      <c r="H46">
        <v>0</v>
      </c>
      <c r="I46">
        <f t="shared" si="0"/>
        <v>3164264</v>
      </c>
    </row>
    <row r="47" spans="1:9" x14ac:dyDescent="0.45">
      <c r="A47" t="s">
        <v>9</v>
      </c>
      <c r="B47">
        <v>36</v>
      </c>
      <c r="C47">
        <v>43200</v>
      </c>
      <c r="D47">
        <v>0.60119999999999996</v>
      </c>
      <c r="E47">
        <v>0.66890000000000005</v>
      </c>
      <c r="F47">
        <v>2647.2723999999998</v>
      </c>
      <c r="G47">
        <v>1539</v>
      </c>
      <c r="H47">
        <v>175</v>
      </c>
      <c r="I47">
        <f t="shared" si="0"/>
        <v>1714</v>
      </c>
    </row>
    <row r="48" spans="1:9" x14ac:dyDescent="0.45">
      <c r="A48" t="s">
        <v>9</v>
      </c>
      <c r="B48">
        <v>66</v>
      </c>
      <c r="C48">
        <v>43200</v>
      </c>
      <c r="D48">
        <v>0.65300000000000002</v>
      </c>
      <c r="E48">
        <v>0.99690000000000001</v>
      </c>
      <c r="F48">
        <v>3430.7478999999998</v>
      </c>
      <c r="G48">
        <v>1618</v>
      </c>
      <c r="H48">
        <v>332</v>
      </c>
      <c r="I48">
        <f t="shared" si="0"/>
        <v>1950</v>
      </c>
    </row>
    <row r="49" spans="1:9" x14ac:dyDescent="0.45">
      <c r="A49" t="s">
        <v>9</v>
      </c>
      <c r="B49">
        <v>96</v>
      </c>
      <c r="C49">
        <v>43200</v>
      </c>
      <c r="D49">
        <v>0.71079999999999999</v>
      </c>
      <c r="E49">
        <v>1.38</v>
      </c>
      <c r="F49">
        <v>4051.6343999999999</v>
      </c>
      <c r="G49">
        <v>1881</v>
      </c>
      <c r="H49">
        <v>410</v>
      </c>
      <c r="I49">
        <f t="shared" si="0"/>
        <v>2291</v>
      </c>
    </row>
    <row r="50" spans="1:9" x14ac:dyDescent="0.45">
      <c r="A50" t="s">
        <v>9</v>
      </c>
      <c r="B50">
        <v>126</v>
      </c>
      <c r="C50">
        <v>43200</v>
      </c>
      <c r="D50">
        <v>0.74439999999999995</v>
      </c>
      <c r="E50">
        <v>1.8871</v>
      </c>
      <c r="F50">
        <v>4208.8910999999998</v>
      </c>
      <c r="G50">
        <v>2274</v>
      </c>
      <c r="H50">
        <v>486</v>
      </c>
      <c r="I50">
        <f t="shared" si="0"/>
        <v>2760</v>
      </c>
    </row>
    <row r="51" spans="1:9" x14ac:dyDescent="0.45">
      <c r="A51" t="s">
        <v>9</v>
      </c>
      <c r="B51">
        <v>156</v>
      </c>
      <c r="C51">
        <v>43200</v>
      </c>
      <c r="D51">
        <v>0.74690000000000001</v>
      </c>
      <c r="E51">
        <v>2.4338000000000002</v>
      </c>
      <c r="F51">
        <v>4324.0029999999997</v>
      </c>
      <c r="G51">
        <v>2685</v>
      </c>
      <c r="H51">
        <v>569</v>
      </c>
      <c r="I51">
        <f t="shared" si="0"/>
        <v>3254</v>
      </c>
    </row>
    <row r="52" spans="1:9" x14ac:dyDescent="0.45">
      <c r="A52" t="s">
        <v>9</v>
      </c>
      <c r="B52">
        <v>36</v>
      </c>
      <c r="C52">
        <v>86400</v>
      </c>
      <c r="D52">
        <v>0.59899999999999998</v>
      </c>
      <c r="E52">
        <v>0.69569999999999999</v>
      </c>
      <c r="F52">
        <v>2758.0857999999998</v>
      </c>
      <c r="G52">
        <v>3405</v>
      </c>
      <c r="H52">
        <v>421</v>
      </c>
      <c r="I52">
        <f t="shared" si="0"/>
        <v>3826</v>
      </c>
    </row>
    <row r="53" spans="1:9" x14ac:dyDescent="0.45">
      <c r="A53" t="s">
        <v>9</v>
      </c>
      <c r="B53">
        <v>66</v>
      </c>
      <c r="C53">
        <v>86400</v>
      </c>
      <c r="D53">
        <v>0.67759999999999998</v>
      </c>
      <c r="E53">
        <v>0.97330000000000005</v>
      </c>
      <c r="F53">
        <v>3593.9854999999998</v>
      </c>
      <c r="G53">
        <v>3769</v>
      </c>
      <c r="H53">
        <v>611</v>
      </c>
      <c r="I53">
        <f t="shared" si="0"/>
        <v>4380</v>
      </c>
    </row>
    <row r="54" spans="1:9" x14ac:dyDescent="0.45">
      <c r="A54" t="s">
        <v>9</v>
      </c>
      <c r="B54">
        <v>96</v>
      </c>
      <c r="C54">
        <v>86400</v>
      </c>
      <c r="D54">
        <v>0.73109999999999997</v>
      </c>
      <c r="E54">
        <v>1.3024</v>
      </c>
      <c r="F54">
        <v>3998.0985999999998</v>
      </c>
      <c r="G54">
        <v>4388</v>
      </c>
      <c r="H54">
        <v>727</v>
      </c>
      <c r="I54">
        <f t="shared" si="0"/>
        <v>5115</v>
      </c>
    </row>
    <row r="55" spans="1:9" x14ac:dyDescent="0.45">
      <c r="A55" t="s">
        <v>9</v>
      </c>
      <c r="B55">
        <v>126</v>
      </c>
      <c r="C55">
        <v>86400</v>
      </c>
      <c r="D55">
        <v>0.78149999999999997</v>
      </c>
      <c r="E55">
        <v>1.8070999999999999</v>
      </c>
      <c r="F55">
        <v>4238.0393999999997</v>
      </c>
      <c r="G55">
        <v>5382</v>
      </c>
      <c r="H55">
        <v>927</v>
      </c>
      <c r="I55">
        <f t="shared" si="0"/>
        <v>6309</v>
      </c>
    </row>
    <row r="56" spans="1:9" x14ac:dyDescent="0.45">
      <c r="A56" t="s">
        <v>9</v>
      </c>
      <c r="B56">
        <v>156</v>
      </c>
      <c r="C56">
        <v>86400</v>
      </c>
      <c r="D56">
        <v>0.76480000000000004</v>
      </c>
      <c r="E56">
        <v>2.5716000000000001</v>
      </c>
      <c r="F56">
        <v>4557.6641</v>
      </c>
      <c r="G56">
        <v>6490</v>
      </c>
      <c r="H56">
        <v>1342</v>
      </c>
      <c r="I56">
        <f t="shared" si="0"/>
        <v>7832</v>
      </c>
    </row>
    <row r="57" spans="1:9" x14ac:dyDescent="0.45">
      <c r="A57" t="s">
        <v>9</v>
      </c>
      <c r="B57">
        <v>36</v>
      </c>
      <c r="C57">
        <v>172800</v>
      </c>
      <c r="D57">
        <v>0.60929999999999995</v>
      </c>
      <c r="E57">
        <v>0.73070000000000002</v>
      </c>
      <c r="F57">
        <v>2773.6907000000001</v>
      </c>
      <c r="G57">
        <v>7152</v>
      </c>
      <c r="H57">
        <v>983</v>
      </c>
      <c r="I57">
        <f t="shared" si="0"/>
        <v>8135</v>
      </c>
    </row>
    <row r="58" spans="1:9" x14ac:dyDescent="0.45">
      <c r="A58" t="s">
        <v>9</v>
      </c>
      <c r="B58">
        <v>66</v>
      </c>
      <c r="C58">
        <v>172800</v>
      </c>
      <c r="D58">
        <v>0.69530000000000003</v>
      </c>
      <c r="E58">
        <v>0.97250000000000003</v>
      </c>
      <c r="F58">
        <v>3682.4605000000001</v>
      </c>
      <c r="G58">
        <v>8279</v>
      </c>
      <c r="H58">
        <v>1043</v>
      </c>
      <c r="I58">
        <f t="shared" si="0"/>
        <v>9322</v>
      </c>
    </row>
    <row r="59" spans="1:9" x14ac:dyDescent="0.45">
      <c r="A59" t="s">
        <v>9</v>
      </c>
      <c r="B59">
        <v>96</v>
      </c>
      <c r="C59">
        <v>172800</v>
      </c>
      <c r="D59">
        <v>0.75239999999999996</v>
      </c>
      <c r="E59">
        <v>1.3077000000000001</v>
      </c>
      <c r="F59">
        <v>4145.2653</v>
      </c>
      <c r="G59">
        <v>9513</v>
      </c>
      <c r="H59">
        <v>1469</v>
      </c>
      <c r="I59">
        <f t="shared" si="0"/>
        <v>10982</v>
      </c>
    </row>
    <row r="60" spans="1:9" x14ac:dyDescent="0.45">
      <c r="A60" t="s">
        <v>9</v>
      </c>
      <c r="B60">
        <v>126</v>
      </c>
      <c r="C60">
        <v>172800</v>
      </c>
      <c r="D60">
        <v>0.80289999999999995</v>
      </c>
      <c r="E60">
        <v>1.835</v>
      </c>
      <c r="F60">
        <v>4472.3289000000004</v>
      </c>
      <c r="G60">
        <v>11687</v>
      </c>
      <c r="H60">
        <v>2029</v>
      </c>
      <c r="I60">
        <f t="shared" si="0"/>
        <v>13716</v>
      </c>
    </row>
    <row r="61" spans="1:9" x14ac:dyDescent="0.45">
      <c r="A61" t="s">
        <v>9</v>
      </c>
      <c r="B61">
        <v>156</v>
      </c>
      <c r="C61">
        <v>172800</v>
      </c>
      <c r="D61">
        <v>0.80710000000000004</v>
      </c>
      <c r="E61">
        <v>2.4493999999999998</v>
      </c>
      <c r="F61">
        <v>4772.7012000000004</v>
      </c>
      <c r="G61">
        <v>13936</v>
      </c>
      <c r="H61">
        <v>2634</v>
      </c>
      <c r="I61">
        <f t="shared" si="0"/>
        <v>16570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D3C5-12CB-4F46-AEFC-605427EB0D74}">
  <dimension ref="A1:K61"/>
  <sheetViews>
    <sheetView tabSelected="1" topLeftCell="B1" zoomScaleNormal="100" workbookViewId="0">
      <selection activeCell="K61" sqref="K61"/>
    </sheetView>
  </sheetViews>
  <sheetFormatPr defaultRowHeight="14.25" x14ac:dyDescent="0.45"/>
  <cols>
    <col min="1" max="1" width="22.53125" customWidth="1"/>
    <col min="4" max="4" width="18.53125" customWidth="1"/>
    <col min="5" max="5" width="24" customWidth="1"/>
    <col min="6" max="6" width="25.73046875" customWidth="1"/>
    <col min="7" max="7" width="33.73046875" customWidth="1"/>
    <col min="8" max="8" width="22" customWidth="1"/>
    <col min="9" max="9" width="25.06640625" customWidth="1"/>
    <col min="10" max="10" width="22.265625" customWidth="1"/>
    <col min="11" max="11" width="30.332031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16</v>
      </c>
      <c r="E1" t="s">
        <v>15</v>
      </c>
      <c r="F1" t="s">
        <v>14</v>
      </c>
      <c r="G1" t="s">
        <v>19</v>
      </c>
      <c r="H1" t="s">
        <v>13</v>
      </c>
      <c r="I1" t="s">
        <v>17</v>
      </c>
      <c r="J1" t="s">
        <v>18</v>
      </c>
      <c r="K1" t="s">
        <v>23</v>
      </c>
    </row>
    <row r="2" spans="1:11" x14ac:dyDescent="0.45">
      <c r="A2" t="s">
        <v>3</v>
      </c>
      <c r="B2">
        <v>36</v>
      </c>
      <c r="C2" t="s">
        <v>10</v>
      </c>
      <c r="D2">
        <f>AVERAGE(Seed1!D2,Seed2!D2,Seed3!D2)</f>
        <v>0.30813333333333337</v>
      </c>
      <c r="E2">
        <f>AVERAGE(Seed1!E2,Seed2!E2,Seed3!E2)</f>
        <v>482.00839999999999</v>
      </c>
      <c r="F2">
        <f>AVERAGE(Seed1!F2,Seed2!F2,Seed3!F2)</f>
        <v>1113.5516666666665</v>
      </c>
      <c r="G2">
        <f>AVERAGE(Seed1!I2,Seed2!I2,Seed3!I2)</f>
        <v>218585</v>
      </c>
      <c r="H2">
        <f>STDEV(Seed1!D2,Seed2!D2,Seed3!D2)</f>
        <v>7.3636494575267247E-3</v>
      </c>
      <c r="I2">
        <f>STDEV(Seed1!E2,Seed2!E2,Seed3!E2)</f>
        <v>70.198185421632942</v>
      </c>
      <c r="J2">
        <f>STDEV(Seed1!F2,Seed2!F2,Seed3!F2)</f>
        <v>98.330050766402692</v>
      </c>
      <c r="K2">
        <f>STDEV(Seed1!I2,Seed2!I2,Seed3!I2)</f>
        <v>30257.424196385258</v>
      </c>
    </row>
    <row r="3" spans="1:11" x14ac:dyDescent="0.45">
      <c r="A3" t="s">
        <v>3</v>
      </c>
      <c r="B3">
        <v>66</v>
      </c>
      <c r="C3" t="s">
        <v>10</v>
      </c>
      <c r="D3">
        <f>AVERAGE(Seed1!D3,Seed2!D3,Seed3!D3)</f>
        <v>0.26150000000000001</v>
      </c>
      <c r="E3">
        <f>AVERAGE(Seed1!E3,Seed2!E3,Seed3!E3)</f>
        <v>586.80033333333336</v>
      </c>
      <c r="F3">
        <f>AVERAGE(Seed1!F3,Seed2!F3,Seed3!F3)</f>
        <v>1229.6962999999998</v>
      </c>
      <c r="G3">
        <f>AVERAGE(Seed1!I3,Seed2!I3,Seed3!I3)</f>
        <v>224625.66666666666</v>
      </c>
      <c r="H3">
        <f>STDEV(Seed1!D3,Seed2!D3,Seed3!D3)</f>
        <v>1.2040348832155991E-2</v>
      </c>
      <c r="I3">
        <f>STDEV(Seed1!E3,Seed2!E3,Seed3!E3)</f>
        <v>27.379105658573557</v>
      </c>
      <c r="J3">
        <f>STDEV(Seed1!F3,Seed2!F3,Seed3!F3)</f>
        <v>64.041774866800836</v>
      </c>
      <c r="K3">
        <f>STDEV(Seed1!I3,Seed2!I3,Seed3!I3)</f>
        <v>9074.3902458144985</v>
      </c>
    </row>
    <row r="4" spans="1:11" x14ac:dyDescent="0.45">
      <c r="A4" t="s">
        <v>3</v>
      </c>
      <c r="B4">
        <v>96</v>
      </c>
      <c r="C4" t="s">
        <v>10</v>
      </c>
      <c r="D4">
        <f>AVERAGE(Seed1!D4,Seed2!D4,Seed3!D4)</f>
        <v>0.23599999999999999</v>
      </c>
      <c r="E4">
        <f>AVERAGE(Seed1!E4,Seed2!E4,Seed3!E4)</f>
        <v>817.22953333333328</v>
      </c>
      <c r="F4">
        <f>AVERAGE(Seed1!F4,Seed2!F4,Seed3!F4)</f>
        <v>1205.2995333333333</v>
      </c>
      <c r="G4">
        <f>AVERAGE(Seed1!I4,Seed2!I4,Seed3!I4)</f>
        <v>283268</v>
      </c>
      <c r="H4">
        <f>STDEV(Seed1!D4,Seed2!D4,Seed3!D4)</f>
        <v>2.6999999999999941E-3</v>
      </c>
      <c r="I4">
        <f>STDEV(Seed1!E4,Seed2!E4,Seed3!E4)</f>
        <v>14.774076737425363</v>
      </c>
      <c r="J4">
        <f>STDEV(Seed1!F4,Seed2!F4,Seed3!F4)</f>
        <v>73.010427798796826</v>
      </c>
      <c r="K4">
        <f>STDEV(Seed1!I4,Seed2!I4,Seed3!I4)</f>
        <v>8369.4862446867064</v>
      </c>
    </row>
    <row r="5" spans="1:11" x14ac:dyDescent="0.45">
      <c r="A5" t="s">
        <v>3</v>
      </c>
      <c r="B5">
        <v>126</v>
      </c>
      <c r="C5" t="s">
        <v>10</v>
      </c>
      <c r="D5">
        <f>AVERAGE(Seed1!D5,Seed2!D5,Seed3!D5)</f>
        <v>0.22236666666666668</v>
      </c>
      <c r="E5">
        <f>AVERAGE(Seed1!E5,Seed2!E5,Seed3!E5)</f>
        <v>1104.8153666666667</v>
      </c>
      <c r="F5">
        <f>AVERAGE(Seed1!F5,Seed2!F5,Seed3!F5)</f>
        <v>1206.6929333333333</v>
      </c>
      <c r="G5">
        <f>AVERAGE(Seed1!I5,Seed2!I5,Seed3!I5)</f>
        <v>359710</v>
      </c>
      <c r="H5">
        <f>STDEV(Seed1!D5,Seed2!D5,Seed3!D5)</f>
        <v>3.7978063843926179E-3</v>
      </c>
      <c r="I5">
        <f>STDEV(Seed1!E5,Seed2!E5,Seed3!E5)</f>
        <v>6.4271277646654248</v>
      </c>
      <c r="J5">
        <f>STDEV(Seed1!F5,Seed2!F5,Seed3!F5)</f>
        <v>161.4462106536522</v>
      </c>
      <c r="K5">
        <f>STDEV(Seed1!I5,Seed2!I5,Seed3!I5)</f>
        <v>7154.1415278145005</v>
      </c>
    </row>
    <row r="6" spans="1:11" x14ac:dyDescent="0.45">
      <c r="A6" t="s">
        <v>3</v>
      </c>
      <c r="B6">
        <v>156</v>
      </c>
      <c r="C6" t="s">
        <v>10</v>
      </c>
      <c r="D6">
        <f>AVERAGE(Seed1!D6,Seed2!D6,Seed3!D6)</f>
        <v>0.20369999999999999</v>
      </c>
      <c r="E6">
        <f>AVERAGE(Seed1!E6,Seed2!E6,Seed3!E6)</f>
        <v>1522.2416333333333</v>
      </c>
      <c r="F6">
        <f>AVERAGE(Seed1!F6,Seed2!F6,Seed3!F6)</f>
        <v>1191.3624</v>
      </c>
      <c r="G6">
        <f>AVERAGE(Seed1!I6,Seed2!I6,Seed3!I6)</f>
        <v>454174.33333333331</v>
      </c>
      <c r="H6">
        <f>STDEV(Seed1!D6,Seed2!D6,Seed3!D6)</f>
        <v>7.6602872008822301E-3</v>
      </c>
      <c r="I6">
        <f>STDEV(Seed1!E6,Seed2!E6,Seed3!E6)</f>
        <v>68.793371190641182</v>
      </c>
      <c r="J6">
        <f>STDEV(Seed1!F6,Seed2!F6,Seed3!F6)</f>
        <v>38.342132030444041</v>
      </c>
      <c r="K6">
        <f>STDEV(Seed1!I6,Seed2!I6,Seed3!I6)</f>
        <v>4080.5912970222016</v>
      </c>
    </row>
    <row r="7" spans="1:11" x14ac:dyDescent="0.45">
      <c r="A7" t="s">
        <v>3</v>
      </c>
      <c r="B7">
        <v>36</v>
      </c>
      <c r="C7" t="s">
        <v>11</v>
      </c>
      <c r="D7">
        <f>AVERAGE(Seed1!D7,Seed2!D7,Seed3!D7)</f>
        <v>0.29763333333333336</v>
      </c>
      <c r="E7">
        <f>AVERAGE(Seed1!E7,Seed2!E7,Seed3!E7)</f>
        <v>498.23406666666665</v>
      </c>
      <c r="F7">
        <f>AVERAGE(Seed1!F7,Seed2!F7,Seed3!F7)</f>
        <v>1139.3838000000001</v>
      </c>
      <c r="G7">
        <f>AVERAGE(Seed1!I7,Seed2!I7,Seed3!I7)</f>
        <v>436107.33333333331</v>
      </c>
      <c r="H7">
        <f>STDEV(Seed1!D7,Seed2!D7,Seed3!D7)</f>
        <v>1.0941815815180478E-2</v>
      </c>
      <c r="I7">
        <f>STDEV(Seed1!E7,Seed2!E7,Seed3!E7)</f>
        <v>35.696118816663159</v>
      </c>
      <c r="J7">
        <f>STDEV(Seed1!F7,Seed2!F7,Seed3!F7)</f>
        <v>46.734660543540897</v>
      </c>
      <c r="K7">
        <f>STDEV(Seed1!I7,Seed2!I7,Seed3!I7)</f>
        <v>18122.422419018196</v>
      </c>
    </row>
    <row r="8" spans="1:11" x14ac:dyDescent="0.45">
      <c r="A8" t="s">
        <v>3</v>
      </c>
      <c r="B8">
        <v>66</v>
      </c>
      <c r="C8" t="s">
        <v>11</v>
      </c>
      <c r="D8">
        <f>AVERAGE(Seed1!D8,Seed2!D8,Seed3!D8)</f>
        <v>0.25</v>
      </c>
      <c r="E8">
        <f>AVERAGE(Seed1!E8,Seed2!E8,Seed3!E8)</f>
        <v>646.98170000000005</v>
      </c>
      <c r="F8">
        <f>AVERAGE(Seed1!F8,Seed2!F8,Seed3!F8)</f>
        <v>1243.5734</v>
      </c>
      <c r="G8">
        <f>AVERAGE(Seed1!I8,Seed2!I8,Seed3!I8)</f>
        <v>475594.66666666669</v>
      </c>
      <c r="H8">
        <f>STDEV(Seed1!D8,Seed2!D8,Seed3!D8)</f>
        <v>3.5679125549822497E-3</v>
      </c>
      <c r="I8">
        <f>STDEV(Seed1!E8,Seed2!E8,Seed3!E8)</f>
        <v>24.546578320613232</v>
      </c>
      <c r="J8">
        <f>STDEV(Seed1!F8,Seed2!F8,Seed3!F8)</f>
        <v>67.488933124846554</v>
      </c>
      <c r="K8">
        <f>STDEV(Seed1!I8,Seed2!I8,Seed3!I8)</f>
        <v>13853.451711877922</v>
      </c>
    </row>
    <row r="9" spans="1:11" x14ac:dyDescent="0.45">
      <c r="A9" t="s">
        <v>3</v>
      </c>
      <c r="B9">
        <v>96</v>
      </c>
      <c r="C9" t="s">
        <v>11</v>
      </c>
      <c r="D9">
        <f>AVERAGE(Seed1!D9,Seed2!D9,Seed3!D9)</f>
        <v>0.23123333333333332</v>
      </c>
      <c r="E9">
        <f>AVERAGE(Seed1!E9,Seed2!E9,Seed3!E9)</f>
        <v>878.25233333333335</v>
      </c>
      <c r="F9">
        <f>AVERAGE(Seed1!F9,Seed2!F9,Seed3!F9)</f>
        <v>1268.6218666666666</v>
      </c>
      <c r="G9">
        <f>AVERAGE(Seed1!I9,Seed2!I9,Seed3!I9)</f>
        <v>597044.33333333337</v>
      </c>
      <c r="H9">
        <f>STDEV(Seed1!D9,Seed2!D9,Seed3!D9)</f>
        <v>4.1198705481281057E-3</v>
      </c>
      <c r="I9">
        <f>STDEV(Seed1!E9,Seed2!E9,Seed3!E9)</f>
        <v>6.3923339402235069</v>
      </c>
      <c r="J9">
        <f>STDEV(Seed1!F9,Seed2!F9,Seed3!F9)</f>
        <v>43.347533526411027</v>
      </c>
      <c r="K9">
        <f>STDEV(Seed1!I9,Seed2!I9,Seed3!I9)</f>
        <v>6285.7235330018557</v>
      </c>
    </row>
    <row r="10" spans="1:11" x14ac:dyDescent="0.45">
      <c r="A10" t="s">
        <v>3</v>
      </c>
      <c r="B10">
        <v>126</v>
      </c>
      <c r="C10" t="s">
        <v>11</v>
      </c>
      <c r="D10">
        <f>AVERAGE(Seed1!D10,Seed2!D10,Seed3!D10)</f>
        <v>0.21526666666666663</v>
      </c>
      <c r="E10">
        <f>AVERAGE(Seed1!E10,Seed2!E10,Seed3!E10)</f>
        <v>1169.5723666666665</v>
      </c>
      <c r="F10">
        <f>AVERAGE(Seed1!F10,Seed2!F10,Seed3!F10)</f>
        <v>1199.2634</v>
      </c>
      <c r="G10">
        <f>AVERAGE(Seed1!I10,Seed2!I10,Seed3!I10)</f>
        <v>738197.33333333337</v>
      </c>
      <c r="H10">
        <f>STDEV(Seed1!D10,Seed2!D10,Seed3!D10)</f>
        <v>7.3711147958319167E-4</v>
      </c>
      <c r="I10">
        <f>STDEV(Seed1!E10,Seed2!E10,Seed3!E10)</f>
        <v>10.544005351541376</v>
      </c>
      <c r="J10">
        <f>STDEV(Seed1!F10,Seed2!F10,Seed3!F10)</f>
        <v>72.769321415277773</v>
      </c>
      <c r="K10">
        <f>STDEV(Seed1!I10,Seed2!I10,Seed3!I10)</f>
        <v>9075.3021070008108</v>
      </c>
    </row>
    <row r="11" spans="1:11" x14ac:dyDescent="0.45">
      <c r="A11" t="s">
        <v>3</v>
      </c>
      <c r="B11">
        <v>156</v>
      </c>
      <c r="C11" t="s">
        <v>11</v>
      </c>
      <c r="D11">
        <f>AVERAGE(Seed1!D11,Seed2!D11,Seed3!D11)</f>
        <v>0.19750000000000001</v>
      </c>
      <c r="E11">
        <f>AVERAGE(Seed1!E11,Seed2!E11,Seed3!E11)</f>
        <v>1587.8690999999999</v>
      </c>
      <c r="F11">
        <f>AVERAGE(Seed1!F11,Seed2!F11,Seed3!F11)</f>
        <v>1245.7674666666665</v>
      </c>
      <c r="G11">
        <f>AVERAGE(Seed1!I11,Seed2!I11,Seed3!I11)</f>
        <v>919971.33333333337</v>
      </c>
      <c r="H11">
        <f>STDEV(Seed1!D11,Seed2!D11,Seed3!D11)</f>
        <v>4.6679760067935222E-3</v>
      </c>
      <c r="I11">
        <f>STDEV(Seed1!E11,Seed2!E11,Seed3!E11)</f>
        <v>48.463393627355401</v>
      </c>
      <c r="J11">
        <f>STDEV(Seed1!F11,Seed2!F11,Seed3!F11)</f>
        <v>80.361338655247195</v>
      </c>
      <c r="K11">
        <f>STDEV(Seed1!I11,Seed2!I11,Seed3!I11)</f>
        <v>10631.71633995816</v>
      </c>
    </row>
    <row r="12" spans="1:11" x14ac:dyDescent="0.45">
      <c r="A12" t="s">
        <v>3</v>
      </c>
      <c r="B12">
        <v>36</v>
      </c>
      <c r="C12" t="s">
        <v>12</v>
      </c>
      <c r="D12">
        <f>AVERAGE(Seed1!D12,Seed2!D12,Seed3!D12)</f>
        <v>0.30049999999999999</v>
      </c>
      <c r="E12">
        <f>AVERAGE(Seed1!E12,Seed2!E12,Seed3!E12)</f>
        <v>494.363</v>
      </c>
      <c r="F12">
        <f>AVERAGE(Seed1!F12,Seed2!F12,Seed3!F12)</f>
        <v>1205.7548999999999</v>
      </c>
      <c r="G12">
        <f>AVERAGE(Seed1!I12,Seed2!I12,Seed3!I12)</f>
        <v>876212</v>
      </c>
      <c r="H12">
        <f>STDEV(Seed1!D12,Seed2!D12,Seed3!D12)</f>
        <v>4.8497422611928805E-3</v>
      </c>
      <c r="I12">
        <f>STDEV(Seed1!E12,Seed2!E12,Seed3!E12)</f>
        <v>7.0335673196465498</v>
      </c>
      <c r="J12">
        <f>STDEV(Seed1!F12,Seed2!F12,Seed3!F12)</f>
        <v>17.674690527700839</v>
      </c>
      <c r="K12">
        <f>STDEV(Seed1!I12,Seed2!I12,Seed3!I12)</f>
        <v>21785.107550801764</v>
      </c>
    </row>
    <row r="13" spans="1:11" x14ac:dyDescent="0.45">
      <c r="A13" t="s">
        <v>3</v>
      </c>
      <c r="B13">
        <v>66</v>
      </c>
      <c r="C13" t="s">
        <v>12</v>
      </c>
      <c r="D13">
        <f>AVERAGE(Seed1!D13,Seed2!D13,Seed3!D13)</f>
        <v>0.25203333333333333</v>
      </c>
      <c r="E13">
        <f>AVERAGE(Seed1!E13,Seed2!E13,Seed3!E13)</f>
        <v>672.88536666666664</v>
      </c>
      <c r="F13">
        <f>AVERAGE(Seed1!F13,Seed2!F13,Seed3!F13)</f>
        <v>1279.3266333333333</v>
      </c>
      <c r="G13">
        <f>AVERAGE(Seed1!I13,Seed2!I13,Seed3!I13)</f>
        <v>998389.66666666663</v>
      </c>
      <c r="H13">
        <f>STDEV(Seed1!D13,Seed2!D13,Seed3!D13)</f>
        <v>3.8888730158406128E-3</v>
      </c>
      <c r="I13">
        <f>STDEV(Seed1!E13,Seed2!E13,Seed3!E13)</f>
        <v>20.66611208629557</v>
      </c>
      <c r="J13">
        <f>STDEV(Seed1!F13,Seed2!F13,Seed3!F13)</f>
        <v>33.757184670131075</v>
      </c>
      <c r="K13">
        <f>STDEV(Seed1!I13,Seed2!I13,Seed3!I13)</f>
        <v>15521.476873459345</v>
      </c>
    </row>
    <row r="14" spans="1:11" x14ac:dyDescent="0.45">
      <c r="A14" t="s">
        <v>3</v>
      </c>
      <c r="B14">
        <v>96</v>
      </c>
      <c r="C14" t="s">
        <v>12</v>
      </c>
      <c r="D14">
        <f>AVERAGE(Seed1!D14,Seed2!D14,Seed3!D14)</f>
        <v>0.22716666666666666</v>
      </c>
      <c r="E14">
        <f>AVERAGE(Seed1!E14,Seed2!E14,Seed3!E14)</f>
        <v>914.26679999999999</v>
      </c>
      <c r="F14">
        <f>AVERAGE(Seed1!F14,Seed2!F14,Seed3!F14)</f>
        <v>1290.1442333333334</v>
      </c>
      <c r="G14">
        <f>AVERAGE(Seed1!I14,Seed2!I14,Seed3!I14)</f>
        <v>1218763.3333333333</v>
      </c>
      <c r="H14">
        <f>STDEV(Seed1!D14,Seed2!D14,Seed3!D14)</f>
        <v>6.1329710037903631E-3</v>
      </c>
      <c r="I14">
        <f>STDEV(Seed1!E14,Seed2!E14,Seed3!E14)</f>
        <v>35.195053671361229</v>
      </c>
      <c r="J14">
        <f>STDEV(Seed1!F14,Seed2!F14,Seed3!F14)</f>
        <v>13.541659888039216</v>
      </c>
      <c r="K14">
        <f>STDEV(Seed1!I14,Seed2!I14,Seed3!I14)</f>
        <v>14498.215384430365</v>
      </c>
    </row>
    <row r="15" spans="1:11" x14ac:dyDescent="0.45">
      <c r="A15" t="s">
        <v>3</v>
      </c>
      <c r="B15">
        <v>126</v>
      </c>
      <c r="C15" t="s">
        <v>12</v>
      </c>
      <c r="D15">
        <f>AVERAGE(Seed1!D15,Seed2!D15,Seed3!D15)</f>
        <v>0.20816666666666669</v>
      </c>
      <c r="E15">
        <f>AVERAGE(Seed1!E15,Seed2!E15,Seed3!E15)</f>
        <v>1211.5297666666668</v>
      </c>
      <c r="F15">
        <f>AVERAGE(Seed1!F15,Seed2!F15,Seed3!F15)</f>
        <v>1227.8716999999999</v>
      </c>
      <c r="G15">
        <f>AVERAGE(Seed1!I15,Seed2!I15,Seed3!I15)</f>
        <v>1479890.3333333333</v>
      </c>
      <c r="H15">
        <f>STDEV(Seed1!D15,Seed2!D15,Seed3!D15)</f>
        <v>4.509249752822952E-4</v>
      </c>
      <c r="I15">
        <f>STDEV(Seed1!E15,Seed2!E15,Seed3!E15)</f>
        <v>10.97196420625469</v>
      </c>
      <c r="J15">
        <f>STDEV(Seed1!F15,Seed2!F15,Seed3!F15)</f>
        <v>49.527784319611939</v>
      </c>
      <c r="K15">
        <f>STDEV(Seed1!I15,Seed2!I15,Seed3!I15)</f>
        <v>15535.816822212257</v>
      </c>
    </row>
    <row r="16" spans="1:11" x14ac:dyDescent="0.45">
      <c r="A16" t="s">
        <v>3</v>
      </c>
      <c r="B16">
        <v>156</v>
      </c>
      <c r="C16" t="s">
        <v>12</v>
      </c>
      <c r="D16">
        <f>AVERAGE(Seed1!D16,Seed2!D16,Seed3!D16)</f>
        <v>0.19363333333333332</v>
      </c>
      <c r="E16">
        <f>AVERAGE(Seed1!E16,Seed2!E16,Seed3!E16)</f>
        <v>1649.5483333333334</v>
      </c>
      <c r="F16">
        <f>AVERAGE(Seed1!F16,Seed2!F16,Seed3!F16)</f>
        <v>1246.3489333333334</v>
      </c>
      <c r="G16">
        <f>AVERAGE(Seed1!I16,Seed2!I16,Seed3!I16)</f>
        <v>1879382</v>
      </c>
      <c r="H16">
        <f>STDEV(Seed1!D16,Seed2!D16,Seed3!D16)</f>
        <v>6.0277137733417421E-4</v>
      </c>
      <c r="I16">
        <f>STDEV(Seed1!E16,Seed2!E16,Seed3!E16)</f>
        <v>21.862872102570059</v>
      </c>
      <c r="J16">
        <f>STDEV(Seed1!F16,Seed2!F16,Seed3!F16)</f>
        <v>53.772532938139754</v>
      </c>
      <c r="K16">
        <f>STDEV(Seed1!I16,Seed2!I16,Seed3!I16)</f>
        <v>19568.143013582052</v>
      </c>
    </row>
    <row r="17" spans="1:11" x14ac:dyDescent="0.45">
      <c r="A17" t="s">
        <v>7</v>
      </c>
      <c r="B17">
        <v>36</v>
      </c>
      <c r="C17" t="s">
        <v>10</v>
      </c>
      <c r="D17">
        <f>AVERAGE(Seed1!D17,Seed2!D17,Seed3!D17)</f>
        <v>0.40033333333333337</v>
      </c>
      <c r="E17">
        <f>AVERAGE(Seed1!E17,Seed2!E17,Seed3!E17)</f>
        <v>22.287566666666663</v>
      </c>
      <c r="F17">
        <f>AVERAGE(Seed1!F17,Seed2!F17,Seed3!F17)</f>
        <v>1396.5473333333332</v>
      </c>
      <c r="G17">
        <f>AVERAGE(Seed1!I17,Seed2!I17,Seed3!I17)</f>
        <v>14479</v>
      </c>
      <c r="H17">
        <f>STDEV(Seed1!D17,Seed2!D17,Seed3!D17)</f>
        <v>1.0055015332327118E-2</v>
      </c>
      <c r="I17">
        <f>STDEV(Seed1!E17,Seed2!E17,Seed3!E17)</f>
        <v>0.88785702302416614</v>
      </c>
      <c r="J17">
        <f>STDEV(Seed1!F17,Seed2!F17,Seed3!F17)</f>
        <v>58.04345713216378</v>
      </c>
      <c r="K17">
        <f>STDEV(Seed1!I17,Seed2!I17,Seed3!I17)</f>
        <v>237.82977105484503</v>
      </c>
    </row>
    <row r="18" spans="1:11" x14ac:dyDescent="0.45">
      <c r="A18" t="s">
        <v>7</v>
      </c>
      <c r="B18">
        <v>66</v>
      </c>
      <c r="C18" t="s">
        <v>10</v>
      </c>
      <c r="D18">
        <f>AVERAGE(Seed1!D18,Seed2!D18,Seed3!D18)</f>
        <v>0.39539999999999997</v>
      </c>
      <c r="E18">
        <f>AVERAGE(Seed1!E18,Seed2!E18,Seed3!E18)</f>
        <v>45.074999999999996</v>
      </c>
      <c r="F18">
        <f>AVERAGE(Seed1!F18,Seed2!F18,Seed3!F18)</f>
        <v>2103.0040666666669</v>
      </c>
      <c r="G18">
        <f>AVERAGE(Seed1!I18,Seed2!I18,Seed3!I18)</f>
        <v>27401.666666666668</v>
      </c>
      <c r="H18">
        <f>STDEV(Seed1!D18,Seed2!D18,Seed3!D18)</f>
        <v>6.999999999999975E-3</v>
      </c>
      <c r="I18">
        <f>STDEV(Seed1!E18,Seed2!E18,Seed3!E18)</f>
        <v>0.87529938306844179</v>
      </c>
      <c r="J18">
        <f>STDEV(Seed1!F18,Seed2!F18,Seed3!F18)</f>
        <v>107.3963207030081</v>
      </c>
      <c r="K18">
        <f>STDEV(Seed1!I18,Seed2!I18,Seed3!I18)</f>
        <v>165.17061885617954</v>
      </c>
    </row>
    <row r="19" spans="1:11" x14ac:dyDescent="0.45">
      <c r="A19" t="s">
        <v>7</v>
      </c>
      <c r="B19">
        <v>96</v>
      </c>
      <c r="C19" t="s">
        <v>10</v>
      </c>
      <c r="D19">
        <f>AVERAGE(Seed1!D19,Seed2!D19,Seed3!D19)</f>
        <v>0.41566666666666668</v>
      </c>
      <c r="E19">
        <f>AVERAGE(Seed1!E19,Seed2!E19,Seed3!E19)</f>
        <v>65.624066666666664</v>
      </c>
      <c r="F19">
        <f>AVERAGE(Seed1!F19,Seed2!F19,Seed3!F19)</f>
        <v>2620.3358333333331</v>
      </c>
      <c r="G19">
        <f>AVERAGE(Seed1!I19,Seed2!I19,Seed3!I19)</f>
        <v>41317.333333333336</v>
      </c>
      <c r="H19">
        <f>STDEV(Seed1!D19,Seed2!D19,Seed3!D19)</f>
        <v>9.9485342303946064E-3</v>
      </c>
      <c r="I19">
        <f>STDEV(Seed1!E19,Seed2!E19,Seed3!E19)</f>
        <v>2.1384428220865117</v>
      </c>
      <c r="J19">
        <f>STDEV(Seed1!F19,Seed2!F19,Seed3!F19)</f>
        <v>63.436532927827514</v>
      </c>
      <c r="K19">
        <f>STDEV(Seed1!I19,Seed2!I19,Seed3!I19)</f>
        <v>490.26659414377127</v>
      </c>
    </row>
    <row r="20" spans="1:11" x14ac:dyDescent="0.45">
      <c r="A20" t="s">
        <v>7</v>
      </c>
      <c r="B20">
        <v>126</v>
      </c>
      <c r="C20" t="s">
        <v>10</v>
      </c>
      <c r="D20">
        <f>AVERAGE(Seed1!D20,Seed2!D20,Seed3!D20)</f>
        <v>0.44886666666666669</v>
      </c>
      <c r="E20">
        <f>AVERAGE(Seed1!E20,Seed2!E20,Seed3!E20)</f>
        <v>85.926633333333328</v>
      </c>
      <c r="F20">
        <f>AVERAGE(Seed1!F20,Seed2!F20,Seed3!F20)</f>
        <v>2918.2538666666665</v>
      </c>
      <c r="G20">
        <f>AVERAGE(Seed1!I20,Seed2!I20,Seed3!I20)</f>
        <v>57711.333333333336</v>
      </c>
      <c r="H20">
        <f>STDEV(Seed1!D20,Seed2!D20,Seed3!D20)</f>
        <v>1.4409140617446059E-2</v>
      </c>
      <c r="I20">
        <f>STDEV(Seed1!E20,Seed2!E20,Seed3!E20)</f>
        <v>3.0165405853946843</v>
      </c>
      <c r="J20">
        <f>STDEV(Seed1!F20,Seed2!F20,Seed3!F20)</f>
        <v>164.95372635567625</v>
      </c>
      <c r="K20">
        <f>STDEV(Seed1!I20,Seed2!I20,Seed3!I20)</f>
        <v>277.51096074449623</v>
      </c>
    </row>
    <row r="21" spans="1:11" x14ac:dyDescent="0.45">
      <c r="A21" t="s">
        <v>7</v>
      </c>
      <c r="B21">
        <v>156</v>
      </c>
      <c r="C21" t="s">
        <v>10</v>
      </c>
      <c r="D21">
        <f>AVERAGE(Seed1!D21,Seed2!D21,Seed3!D21)</f>
        <v>0.46523333333333333</v>
      </c>
      <c r="E21">
        <f>AVERAGE(Seed1!E21,Seed2!E21,Seed3!E21)</f>
        <v>103.71803333333332</v>
      </c>
      <c r="F21">
        <f>AVERAGE(Seed1!F21,Seed2!F21,Seed3!F21)</f>
        <v>3083.621966666667</v>
      </c>
      <c r="G21">
        <f>AVERAGE(Seed1!I21,Seed2!I21,Seed3!I21)</f>
        <v>72046.333333333328</v>
      </c>
      <c r="H21">
        <f>STDEV(Seed1!D21,Seed2!D21,Seed3!D21)</f>
        <v>2.4684678108764647E-3</v>
      </c>
      <c r="I21">
        <f>STDEV(Seed1!E21,Seed2!E21,Seed3!E21)</f>
        <v>2.1264389418305254</v>
      </c>
      <c r="J21">
        <f>STDEV(Seed1!F21,Seed2!F21,Seed3!F21)</f>
        <v>55.815611145479025</v>
      </c>
      <c r="K21">
        <f>STDEV(Seed1!I21,Seed2!I21,Seed3!I21)</f>
        <v>1204.3289971321512</v>
      </c>
    </row>
    <row r="22" spans="1:11" x14ac:dyDescent="0.45">
      <c r="A22" t="s">
        <v>7</v>
      </c>
      <c r="B22">
        <v>36</v>
      </c>
      <c r="C22" t="s">
        <v>11</v>
      </c>
      <c r="D22">
        <f>AVERAGE(Seed1!D22,Seed2!D22,Seed3!D22)</f>
        <v>0.39840000000000003</v>
      </c>
      <c r="E22">
        <f>AVERAGE(Seed1!E22,Seed2!E22,Seed3!E22)</f>
        <v>22.759566666666668</v>
      </c>
      <c r="F22">
        <f>AVERAGE(Seed1!F22,Seed2!F22,Seed3!F22)</f>
        <v>1482.1058999999998</v>
      </c>
      <c r="G22">
        <f>AVERAGE(Seed1!I22,Seed2!I22,Seed3!I22)</f>
        <v>29401</v>
      </c>
      <c r="H22">
        <f>STDEV(Seed1!D22,Seed2!D22,Seed3!D22)</f>
        <v>8.1430952346144159E-3</v>
      </c>
      <c r="I22">
        <f>STDEV(Seed1!E22,Seed2!E22,Seed3!E22)</f>
        <v>0.92058898718881754</v>
      </c>
      <c r="J22">
        <f>STDEV(Seed1!F22,Seed2!F22,Seed3!F22)</f>
        <v>41.922282815109234</v>
      </c>
      <c r="K22">
        <f>STDEV(Seed1!I22,Seed2!I22,Seed3!I22)</f>
        <v>570.60581840706811</v>
      </c>
    </row>
    <row r="23" spans="1:11" x14ac:dyDescent="0.45">
      <c r="A23" t="s">
        <v>7</v>
      </c>
      <c r="B23">
        <v>66</v>
      </c>
      <c r="C23" t="s">
        <v>11</v>
      </c>
      <c r="D23">
        <f>AVERAGE(Seed1!D23,Seed2!D23,Seed3!D23)</f>
        <v>0.40336666666666665</v>
      </c>
      <c r="E23">
        <f>AVERAGE(Seed1!E23,Seed2!E23,Seed3!E23)</f>
        <v>44.674499999999995</v>
      </c>
      <c r="F23">
        <f>AVERAGE(Seed1!F23,Seed2!F23,Seed3!F23)</f>
        <v>2237.3738666666668</v>
      </c>
      <c r="G23">
        <f>AVERAGE(Seed1!I23,Seed2!I23,Seed3!I23)</f>
        <v>55584</v>
      </c>
      <c r="H23">
        <f>STDEV(Seed1!D23,Seed2!D23,Seed3!D23)</f>
        <v>4.6047077359299502E-3</v>
      </c>
      <c r="I23">
        <f>STDEV(Seed1!E23,Seed2!E23,Seed3!E23)</f>
        <v>0.76080532989720839</v>
      </c>
      <c r="J23">
        <f>STDEV(Seed1!F23,Seed2!F23,Seed3!F23)</f>
        <v>85.150658508395281</v>
      </c>
      <c r="K23">
        <f>STDEV(Seed1!I23,Seed2!I23,Seed3!I23)</f>
        <v>363.6248066345309</v>
      </c>
    </row>
    <row r="24" spans="1:11" x14ac:dyDescent="0.45">
      <c r="A24" t="s">
        <v>7</v>
      </c>
      <c r="B24">
        <v>96</v>
      </c>
      <c r="C24" t="s">
        <v>11</v>
      </c>
      <c r="D24">
        <f>AVERAGE(Seed1!D24,Seed2!D24,Seed3!D24)</f>
        <v>0.43249999999999994</v>
      </c>
      <c r="E24">
        <f>AVERAGE(Seed1!E24,Seed2!E24,Seed3!E24)</f>
        <v>64.591366666666673</v>
      </c>
      <c r="F24">
        <f>AVERAGE(Seed1!F24,Seed2!F24,Seed3!F24)</f>
        <v>2718.4726999999998</v>
      </c>
      <c r="G24">
        <f>AVERAGE(Seed1!I24,Seed2!I24,Seed3!I24)</f>
        <v>84680.333333333328</v>
      </c>
      <c r="H24">
        <f>STDEV(Seed1!D24,Seed2!D24,Seed3!D24)</f>
        <v>4.8135226186234751E-3</v>
      </c>
      <c r="I24">
        <f>STDEV(Seed1!E24,Seed2!E24,Seed3!E24)</f>
        <v>0.98380798092581756</v>
      </c>
      <c r="J24">
        <f>STDEV(Seed1!F24,Seed2!F24,Seed3!F24)</f>
        <v>17.76381554818661</v>
      </c>
      <c r="K24">
        <f>STDEV(Seed1!I24,Seed2!I24,Seed3!I24)</f>
        <v>338.50603145783583</v>
      </c>
    </row>
    <row r="25" spans="1:11" x14ac:dyDescent="0.45">
      <c r="A25" t="s">
        <v>7</v>
      </c>
      <c r="B25">
        <v>126</v>
      </c>
      <c r="C25" t="s">
        <v>11</v>
      </c>
      <c r="D25">
        <f>AVERAGE(Seed1!D25,Seed2!D25,Seed3!D25)</f>
        <v>0.46676666666666672</v>
      </c>
      <c r="E25">
        <f>AVERAGE(Seed1!E25,Seed2!E25,Seed3!E25)</f>
        <v>82.806766666666661</v>
      </c>
      <c r="F25">
        <f>AVERAGE(Seed1!F25,Seed2!F25,Seed3!F25)</f>
        <v>2967.9082999999996</v>
      </c>
      <c r="G25">
        <f>AVERAGE(Seed1!I25,Seed2!I25,Seed3!I25)</f>
        <v>115806.33333333333</v>
      </c>
      <c r="H25">
        <f>STDEV(Seed1!D25,Seed2!D25,Seed3!D25)</f>
        <v>9.7006872608765907E-3</v>
      </c>
      <c r="I25">
        <f>STDEV(Seed1!E25,Seed2!E25,Seed3!E25)</f>
        <v>2.2137116215382049</v>
      </c>
      <c r="J25">
        <f>STDEV(Seed1!F25,Seed2!F25,Seed3!F25)</f>
        <v>47.816030686685039</v>
      </c>
      <c r="K25">
        <f>STDEV(Seed1!I25,Seed2!I25,Seed3!I25)</f>
        <v>655.9362265749113</v>
      </c>
    </row>
    <row r="26" spans="1:11" x14ac:dyDescent="0.45">
      <c r="A26" t="s">
        <v>7</v>
      </c>
      <c r="B26">
        <v>156</v>
      </c>
      <c r="C26" t="s">
        <v>11</v>
      </c>
      <c r="D26">
        <f>AVERAGE(Seed1!D26,Seed2!D26,Seed3!D26)</f>
        <v>0.48259999999999997</v>
      </c>
      <c r="E26">
        <f>AVERAGE(Seed1!E26,Seed2!E26,Seed3!E26)</f>
        <v>102.82626666666665</v>
      </c>
      <c r="F26">
        <f>AVERAGE(Seed1!F26,Seed2!F26,Seed3!F26)</f>
        <v>3360.5190000000002</v>
      </c>
      <c r="G26">
        <f>AVERAGE(Seed1!I26,Seed2!I26,Seed3!I26)</f>
        <v>148173.33333333334</v>
      </c>
      <c r="H26">
        <f>STDEV(Seed1!D26,Seed2!D26,Seed3!D26)</f>
        <v>1.4798648586948895E-3</v>
      </c>
      <c r="I26">
        <f>STDEV(Seed1!E26,Seed2!E26,Seed3!E26)</f>
        <v>0.73821304061451942</v>
      </c>
      <c r="J26">
        <f>STDEV(Seed1!F26,Seed2!F26,Seed3!F26)</f>
        <v>71.089339202935363</v>
      </c>
      <c r="K26">
        <f>STDEV(Seed1!I26,Seed2!I26,Seed3!I26)</f>
        <v>843.90896033478236</v>
      </c>
    </row>
    <row r="27" spans="1:11" x14ac:dyDescent="0.45">
      <c r="A27" t="s">
        <v>7</v>
      </c>
      <c r="B27">
        <v>36</v>
      </c>
      <c r="C27" t="s">
        <v>12</v>
      </c>
      <c r="D27">
        <f>AVERAGE(Seed1!D27,Seed2!D27,Seed3!D27)</f>
        <v>0.40126666666666666</v>
      </c>
      <c r="E27">
        <f>AVERAGE(Seed1!E27,Seed2!E27,Seed3!E27)</f>
        <v>22.820466666666665</v>
      </c>
      <c r="F27">
        <f>AVERAGE(Seed1!F27,Seed2!F27,Seed3!F27)</f>
        <v>1538.7834333333333</v>
      </c>
      <c r="G27">
        <f>AVERAGE(Seed1!I27,Seed2!I27,Seed3!I27)</f>
        <v>59462.333333333336</v>
      </c>
      <c r="H27">
        <f>STDEV(Seed1!D27,Seed2!D27,Seed3!D27)</f>
        <v>9.6090235369330893E-4</v>
      </c>
      <c r="I27">
        <f>STDEV(Seed1!E27,Seed2!E27,Seed3!E27)</f>
        <v>0.28067882594405585</v>
      </c>
      <c r="J27">
        <f>STDEV(Seed1!F27,Seed2!F27,Seed3!F27)</f>
        <v>12.622859447975065</v>
      </c>
      <c r="K27">
        <f>STDEV(Seed1!I27,Seed2!I27,Seed3!I27)</f>
        <v>566.66156860451838</v>
      </c>
    </row>
    <row r="28" spans="1:11" x14ac:dyDescent="0.45">
      <c r="A28" t="s">
        <v>7</v>
      </c>
      <c r="B28">
        <v>66</v>
      </c>
      <c r="C28" t="s">
        <v>12</v>
      </c>
      <c r="D28">
        <f>AVERAGE(Seed1!D28,Seed2!D28,Seed3!D28)</f>
        <v>0.41310000000000002</v>
      </c>
      <c r="E28">
        <f>AVERAGE(Seed1!E28,Seed2!E28,Seed3!E28)</f>
        <v>43.856866666666669</v>
      </c>
      <c r="F28">
        <f>AVERAGE(Seed1!F28,Seed2!F28,Seed3!F28)</f>
        <v>2248.3888333333334</v>
      </c>
      <c r="G28">
        <f>AVERAGE(Seed1!I28,Seed2!I28,Seed3!I28)</f>
        <v>111870.33333333333</v>
      </c>
      <c r="H28">
        <f>STDEV(Seed1!D28,Seed2!D28,Seed3!D28)</f>
        <v>1.0347946656221223E-2</v>
      </c>
      <c r="I28">
        <f>STDEV(Seed1!E28,Seed2!E28,Seed3!E28)</f>
        <v>1.0406047152177131</v>
      </c>
      <c r="J28">
        <f>STDEV(Seed1!F28,Seed2!F28,Seed3!F28)</f>
        <v>16.410070190079402</v>
      </c>
      <c r="K28">
        <f>STDEV(Seed1!I28,Seed2!I28,Seed3!I28)</f>
        <v>163.58891567992416</v>
      </c>
    </row>
    <row r="29" spans="1:11" x14ac:dyDescent="0.45">
      <c r="A29" t="s">
        <v>7</v>
      </c>
      <c r="B29">
        <v>96</v>
      </c>
      <c r="C29" t="s">
        <v>12</v>
      </c>
      <c r="D29">
        <f>AVERAGE(Seed1!D29,Seed2!D29,Seed3!D29)</f>
        <v>0.43933333333333335</v>
      </c>
      <c r="E29">
        <f>AVERAGE(Seed1!E29,Seed2!E29,Seed3!E29)</f>
        <v>64.464433333333332</v>
      </c>
      <c r="F29">
        <f>AVERAGE(Seed1!F29,Seed2!F29,Seed3!F29)</f>
        <v>2799.4848666666671</v>
      </c>
      <c r="G29">
        <f>AVERAGE(Seed1!I29,Seed2!I29,Seed3!I29)</f>
        <v>171369.33333333334</v>
      </c>
      <c r="H29">
        <f>STDEV(Seed1!D29,Seed2!D29,Seed3!D29)</f>
        <v>3.234707611722181E-3</v>
      </c>
      <c r="I29">
        <f>STDEV(Seed1!E29,Seed2!E29,Seed3!E29)</f>
        <v>0.81197165180401121</v>
      </c>
      <c r="J29">
        <f>STDEV(Seed1!F29,Seed2!F29,Seed3!F29)</f>
        <v>36.998181985380455</v>
      </c>
      <c r="K29">
        <f>STDEV(Seed1!I29,Seed2!I29,Seed3!I29)</f>
        <v>883.20231732787772</v>
      </c>
    </row>
    <row r="30" spans="1:11" x14ac:dyDescent="0.45">
      <c r="A30" t="s">
        <v>7</v>
      </c>
      <c r="B30">
        <v>126</v>
      </c>
      <c r="C30" t="s">
        <v>12</v>
      </c>
      <c r="D30">
        <f>AVERAGE(Seed1!D30,Seed2!D30,Seed3!D30)</f>
        <v>0.46843333333333331</v>
      </c>
      <c r="E30">
        <f>AVERAGE(Seed1!E30,Seed2!E30,Seed3!E30)</f>
        <v>83.424966666666663</v>
      </c>
      <c r="F30">
        <f>AVERAGE(Seed1!F30,Seed2!F30,Seed3!F30)</f>
        <v>3106.7526666666668</v>
      </c>
      <c r="G30">
        <f>AVERAGE(Seed1!I30,Seed2!I30,Seed3!I30)</f>
        <v>234254.66666666666</v>
      </c>
      <c r="H30">
        <f>STDEV(Seed1!D30,Seed2!D30,Seed3!D30)</f>
        <v>6.1076454819622072E-3</v>
      </c>
      <c r="I30">
        <f>STDEV(Seed1!E30,Seed2!E30,Seed3!E30)</f>
        <v>1.6424590629094304</v>
      </c>
      <c r="J30">
        <f>STDEV(Seed1!F30,Seed2!F30,Seed3!F30)</f>
        <v>28.260255240413613</v>
      </c>
      <c r="K30">
        <f>STDEV(Seed1!I30,Seed2!I30,Seed3!I30)</f>
        <v>1718.3056577144048</v>
      </c>
    </row>
    <row r="31" spans="1:11" x14ac:dyDescent="0.45">
      <c r="A31" t="s">
        <v>7</v>
      </c>
      <c r="B31">
        <v>156</v>
      </c>
      <c r="C31" t="s">
        <v>12</v>
      </c>
      <c r="D31">
        <f>AVERAGE(Seed1!D31,Seed2!D31,Seed3!D31)</f>
        <v>0.48953333333333338</v>
      </c>
      <c r="E31">
        <f>AVERAGE(Seed1!E31,Seed2!E31,Seed3!E31)</f>
        <v>102.15339999999999</v>
      </c>
      <c r="F31">
        <f>AVERAGE(Seed1!F31,Seed2!F31,Seed3!F31)</f>
        <v>3372.2976333333331</v>
      </c>
      <c r="G31">
        <f>AVERAGE(Seed1!I31,Seed2!I31,Seed3!I31)</f>
        <v>299183.33333333331</v>
      </c>
      <c r="H31">
        <f>STDEV(Seed1!D31,Seed2!D31,Seed3!D31)</f>
        <v>7.3323484187082406E-3</v>
      </c>
      <c r="I31">
        <f>STDEV(Seed1!E31,Seed2!E31,Seed3!E31)</f>
        <v>1.2054354441445647</v>
      </c>
      <c r="J31">
        <f>STDEV(Seed1!F31,Seed2!F31,Seed3!F31)</f>
        <v>38.061938783558247</v>
      </c>
      <c r="K31">
        <f>STDEV(Seed1!I31,Seed2!I31,Seed3!I31)</f>
        <v>926.70941148416819</v>
      </c>
    </row>
    <row r="32" spans="1:11" x14ac:dyDescent="0.45">
      <c r="A32" t="s">
        <v>8</v>
      </c>
      <c r="B32">
        <v>36</v>
      </c>
      <c r="C32" t="s">
        <v>10</v>
      </c>
      <c r="D32">
        <f>AVERAGE(Seed1!D32,Seed2!D32,Seed3!D32)</f>
        <v>0.51739999999999997</v>
      </c>
      <c r="E32">
        <f>AVERAGE(Seed1!E32,Seed2!E32,Seed3!E32)</f>
        <v>695.59679999999992</v>
      </c>
      <c r="F32">
        <f>AVERAGE(Seed1!F32,Seed2!F32,Seed3!F32)</f>
        <v>1497.5564000000002</v>
      </c>
      <c r="G32">
        <f>AVERAGE(Seed1!I32,Seed2!I32,Seed3!I32)</f>
        <v>528819.33333333337</v>
      </c>
      <c r="H32">
        <f>STDEV(Seed1!D32,Seed2!D32,Seed3!D32)</f>
        <v>7.1014083110323839E-3</v>
      </c>
      <c r="I32">
        <f>STDEV(Seed1!E32,Seed2!E32,Seed3!E32)</f>
        <v>14.368378448523641</v>
      </c>
      <c r="J32">
        <f>STDEV(Seed1!F32,Seed2!F32,Seed3!F32)</f>
        <v>40.962738771839952</v>
      </c>
      <c r="K32">
        <f>STDEV(Seed1!I32,Seed2!I32,Seed3!I32)</f>
        <v>11115.749967201195</v>
      </c>
    </row>
    <row r="33" spans="1:11" x14ac:dyDescent="0.45">
      <c r="A33" t="s">
        <v>8</v>
      </c>
      <c r="B33">
        <v>66</v>
      </c>
      <c r="C33" t="s">
        <v>10</v>
      </c>
      <c r="D33">
        <f>AVERAGE(Seed1!D33,Seed2!D33,Seed3!D33)</f>
        <v>0.42276666666666668</v>
      </c>
      <c r="E33">
        <f>AVERAGE(Seed1!E33,Seed2!E33,Seed3!E33)</f>
        <v>870.92303333333336</v>
      </c>
      <c r="F33">
        <f>AVERAGE(Seed1!F33,Seed2!F33,Seed3!F33)</f>
        <v>1580.7577000000001</v>
      </c>
      <c r="G33">
        <f>AVERAGE(Seed1!I33,Seed2!I33,Seed3!I33)</f>
        <v>538416.33333333337</v>
      </c>
      <c r="H33">
        <f>STDEV(Seed1!D33,Seed2!D33,Seed3!D33)</f>
        <v>4.1198705481280918E-3</v>
      </c>
      <c r="I33">
        <f>STDEV(Seed1!E33,Seed2!E33,Seed3!E33)</f>
        <v>69.178080533817422</v>
      </c>
      <c r="J33">
        <f>STDEV(Seed1!F33,Seed2!F33,Seed3!F33)</f>
        <v>25.847765686805495</v>
      </c>
      <c r="K33">
        <f>STDEV(Seed1!I33,Seed2!I33,Seed3!I33)</f>
        <v>39234.860676869153</v>
      </c>
    </row>
    <row r="34" spans="1:11" x14ac:dyDescent="0.45">
      <c r="A34" t="s">
        <v>8</v>
      </c>
      <c r="B34">
        <v>96</v>
      </c>
      <c r="C34" t="s">
        <v>10</v>
      </c>
      <c r="D34">
        <f>AVERAGE(Seed1!D34,Seed2!D34,Seed3!D34)</f>
        <v>0.36993333333333328</v>
      </c>
      <c r="E34">
        <f>AVERAGE(Seed1!E34,Seed2!E34,Seed3!E34)</f>
        <v>1106.9530666666667</v>
      </c>
      <c r="F34">
        <f>AVERAGE(Seed1!F34,Seed2!F34,Seed3!F34)</f>
        <v>1542.1757</v>
      </c>
      <c r="G34">
        <f>AVERAGE(Seed1!I34,Seed2!I34,Seed3!I34)</f>
        <v>600407.33333333337</v>
      </c>
      <c r="H34">
        <f>STDEV(Seed1!D34,Seed2!D34,Seed3!D34)</f>
        <v>1.0610529361598012E-2</v>
      </c>
      <c r="I34">
        <f>STDEV(Seed1!E34,Seed2!E34,Seed3!E34)</f>
        <v>40.262401801225579</v>
      </c>
      <c r="J34">
        <f>STDEV(Seed1!F34,Seed2!F34,Seed3!F34)</f>
        <v>73.738594517999914</v>
      </c>
      <c r="K34">
        <f>STDEV(Seed1!I34,Seed2!I34,Seed3!I34)</f>
        <v>4419.6215147151834</v>
      </c>
    </row>
    <row r="35" spans="1:11" x14ac:dyDescent="0.45">
      <c r="A35" t="s">
        <v>8</v>
      </c>
      <c r="B35">
        <v>126</v>
      </c>
      <c r="C35" t="s">
        <v>10</v>
      </c>
      <c r="D35">
        <f>AVERAGE(Seed1!D35,Seed2!D35,Seed3!D35)</f>
        <v>0.32923333333333332</v>
      </c>
      <c r="E35">
        <f>AVERAGE(Seed1!E35,Seed2!E35,Seed3!E35)</f>
        <v>1422.7848000000001</v>
      </c>
      <c r="F35">
        <f>AVERAGE(Seed1!F35,Seed2!F35,Seed3!F35)</f>
        <v>1603.5387333333335</v>
      </c>
      <c r="G35">
        <f>AVERAGE(Seed1!I35,Seed2!I35,Seed3!I35)</f>
        <v>685527</v>
      </c>
      <c r="H35">
        <f>STDEV(Seed1!D35,Seed2!D35,Seed3!D35)</f>
        <v>6.573684912842521E-3</v>
      </c>
      <c r="I35">
        <f>STDEV(Seed1!E35,Seed2!E35,Seed3!E35)</f>
        <v>42.283901895757026</v>
      </c>
      <c r="J35">
        <f>STDEV(Seed1!F35,Seed2!F35,Seed3!F35)</f>
        <v>98.965102364739352</v>
      </c>
      <c r="K35">
        <f>STDEV(Seed1!I35,Seed2!I35,Seed3!I35)</f>
        <v>19107.649855489817</v>
      </c>
    </row>
    <row r="36" spans="1:11" x14ac:dyDescent="0.45">
      <c r="A36" t="s">
        <v>8</v>
      </c>
      <c r="B36">
        <v>156</v>
      </c>
      <c r="C36" t="s">
        <v>10</v>
      </c>
      <c r="D36">
        <f>AVERAGE(Seed1!D36,Seed2!D36,Seed3!D36)</f>
        <v>0.30946666666666661</v>
      </c>
      <c r="E36">
        <f>AVERAGE(Seed1!E36,Seed2!E36,Seed3!E36)</f>
        <v>1677.7417333333333</v>
      </c>
      <c r="F36">
        <f>AVERAGE(Seed1!F36,Seed2!F36,Seed3!F36)</f>
        <v>1494.0651333333333</v>
      </c>
      <c r="G36">
        <f>AVERAGE(Seed1!I36,Seed2!I36,Seed3!I36)</f>
        <v>761293</v>
      </c>
      <c r="H36">
        <f>STDEV(Seed1!D36,Seed2!D36,Seed3!D36)</f>
        <v>5.7830211250983138E-3</v>
      </c>
      <c r="I36">
        <f>STDEV(Seed1!E36,Seed2!E36,Seed3!E36)</f>
        <v>61.523201260120899</v>
      </c>
      <c r="J36">
        <f>STDEV(Seed1!F36,Seed2!F36,Seed3!F36)</f>
        <v>53.814574867997692</v>
      </c>
      <c r="K36">
        <f>STDEV(Seed1!I36,Seed2!I36,Seed3!I36)</f>
        <v>33303.653147965611</v>
      </c>
    </row>
    <row r="37" spans="1:11" x14ac:dyDescent="0.45">
      <c r="A37" t="s">
        <v>8</v>
      </c>
      <c r="B37">
        <v>36</v>
      </c>
      <c r="C37" t="s">
        <v>11</v>
      </c>
      <c r="D37">
        <f>AVERAGE(Seed1!D37,Seed2!D37,Seed3!D37)</f>
        <v>0.50603333333333333</v>
      </c>
      <c r="E37">
        <f>AVERAGE(Seed1!E37,Seed2!E37,Seed3!E37)</f>
        <v>721.81043333333344</v>
      </c>
      <c r="F37">
        <f>AVERAGE(Seed1!F37,Seed2!F37,Seed3!F37)</f>
        <v>1499.3031333333331</v>
      </c>
      <c r="G37">
        <f>AVERAGE(Seed1!I37,Seed2!I37,Seed3!I37)</f>
        <v>1072662</v>
      </c>
      <c r="H37">
        <f>STDEV(Seed1!D37,Seed2!D37,Seed3!D37)</f>
        <v>5.5581771592252312E-3</v>
      </c>
      <c r="I37">
        <f>STDEV(Seed1!E37,Seed2!E37,Seed3!E37)</f>
        <v>14.42185290603582</v>
      </c>
      <c r="J37">
        <f>STDEV(Seed1!F37,Seed2!F37,Seed3!F37)</f>
        <v>24.427018534060366</v>
      </c>
      <c r="K37">
        <f>STDEV(Seed1!I37,Seed2!I37,Seed3!I37)</f>
        <v>33024.041121582923</v>
      </c>
    </row>
    <row r="38" spans="1:11" x14ac:dyDescent="0.45">
      <c r="A38" t="s">
        <v>8</v>
      </c>
      <c r="B38">
        <v>66</v>
      </c>
      <c r="C38" t="s">
        <v>11</v>
      </c>
      <c r="D38">
        <f>AVERAGE(Seed1!D38,Seed2!D38,Seed3!D38)</f>
        <v>0.41053333333333336</v>
      </c>
      <c r="E38">
        <f>AVERAGE(Seed1!E38,Seed2!E38,Seed3!E38)</f>
        <v>943.44729999999993</v>
      </c>
      <c r="F38">
        <f>AVERAGE(Seed1!F38,Seed2!F38,Seed3!F38)</f>
        <v>1646.1686333333334</v>
      </c>
      <c r="G38">
        <f>AVERAGE(Seed1!I38,Seed2!I38,Seed3!I38)</f>
        <v>1135950.6666666667</v>
      </c>
      <c r="H38">
        <f>STDEV(Seed1!D38,Seed2!D38,Seed3!D38)</f>
        <v>2.6633312473917695E-3</v>
      </c>
      <c r="I38">
        <f>STDEV(Seed1!E38,Seed2!E38,Seed3!E38)</f>
        <v>38.481146190959535</v>
      </c>
      <c r="J38">
        <f>STDEV(Seed1!F38,Seed2!F38,Seed3!F38)</f>
        <v>15.202504024118282</v>
      </c>
      <c r="K38">
        <f>STDEV(Seed1!I38,Seed2!I38,Seed3!I38)</f>
        <v>39072.636580263345</v>
      </c>
    </row>
    <row r="39" spans="1:11" x14ac:dyDescent="0.45">
      <c r="A39" t="s">
        <v>8</v>
      </c>
      <c r="B39">
        <v>96</v>
      </c>
      <c r="C39" t="s">
        <v>11</v>
      </c>
      <c r="D39">
        <f>AVERAGE(Seed1!D39,Seed2!D39,Seed3!D39)</f>
        <v>0.37290000000000001</v>
      </c>
      <c r="E39">
        <f>AVERAGE(Seed1!E39,Seed2!E39,Seed3!E39)</f>
        <v>1156.5445666666667</v>
      </c>
      <c r="F39">
        <f>AVERAGE(Seed1!F39,Seed2!F39,Seed3!F39)</f>
        <v>1631.8608999999999</v>
      </c>
      <c r="G39">
        <f>AVERAGE(Seed1!I39,Seed2!I39,Seed3!I39)</f>
        <v>1265076.6666666667</v>
      </c>
      <c r="H39">
        <f>STDEV(Seed1!D39,Seed2!D39,Seed3!D39)</f>
        <v>1.0908253755757626E-2</v>
      </c>
      <c r="I39">
        <f>STDEV(Seed1!E39,Seed2!E39,Seed3!E39)</f>
        <v>46.06548627338406</v>
      </c>
      <c r="J39">
        <f>STDEV(Seed1!F39,Seed2!F39,Seed3!F39)</f>
        <v>13.626116087499099</v>
      </c>
      <c r="K39">
        <f>STDEV(Seed1!I39,Seed2!I39,Seed3!I39)</f>
        <v>12755.666988963507</v>
      </c>
    </row>
    <row r="40" spans="1:11" x14ac:dyDescent="0.45">
      <c r="A40" t="s">
        <v>8</v>
      </c>
      <c r="B40">
        <v>126</v>
      </c>
      <c r="C40" t="s">
        <v>11</v>
      </c>
      <c r="D40">
        <f>AVERAGE(Seed1!D40,Seed2!D40,Seed3!D40)</f>
        <v>0.33026666666666665</v>
      </c>
      <c r="E40">
        <f>AVERAGE(Seed1!E40,Seed2!E40,Seed3!E40)</f>
        <v>1444.0032333333336</v>
      </c>
      <c r="F40">
        <f>AVERAGE(Seed1!F40,Seed2!F40,Seed3!F40)</f>
        <v>1616.8133</v>
      </c>
      <c r="G40">
        <f>AVERAGE(Seed1!I40,Seed2!I40,Seed3!I40)</f>
        <v>1396303.6666666667</v>
      </c>
      <c r="H40">
        <f>STDEV(Seed1!D40,Seed2!D40,Seed3!D40)</f>
        <v>7.5500551874362713E-3</v>
      </c>
      <c r="I40">
        <f>STDEV(Seed1!E40,Seed2!E40,Seed3!E40)</f>
        <v>27.52312853698373</v>
      </c>
      <c r="J40">
        <f>STDEV(Seed1!F40,Seed2!F40,Seed3!F40)</f>
        <v>36.718141303856953</v>
      </c>
      <c r="K40">
        <f>STDEV(Seed1!I40,Seed2!I40,Seed3!I40)</f>
        <v>13946.986532342151</v>
      </c>
    </row>
    <row r="41" spans="1:11" x14ac:dyDescent="0.45">
      <c r="A41" t="s">
        <v>8</v>
      </c>
      <c r="B41">
        <v>156</v>
      </c>
      <c r="C41" t="s">
        <v>11</v>
      </c>
      <c r="D41">
        <f>AVERAGE(Seed1!D41,Seed2!D41,Seed3!D41)</f>
        <v>0.31173333333333336</v>
      </c>
      <c r="E41">
        <f>AVERAGE(Seed1!E41,Seed2!E41,Seed3!E41)</f>
        <v>1724.8040000000001</v>
      </c>
      <c r="F41">
        <f>AVERAGE(Seed1!F41,Seed2!F41,Seed3!F41)</f>
        <v>1576.6316666666664</v>
      </c>
      <c r="G41">
        <f>AVERAGE(Seed1!I41,Seed2!I41,Seed3!I41)</f>
        <v>1577066</v>
      </c>
      <c r="H41">
        <f>STDEV(Seed1!D41,Seed2!D41,Seed3!D41)</f>
        <v>1.6258331197676254E-3</v>
      </c>
      <c r="I41">
        <f>STDEV(Seed1!E41,Seed2!E41,Seed3!E41)</f>
        <v>50.37772017201646</v>
      </c>
      <c r="J41">
        <f>STDEV(Seed1!F41,Seed2!F41,Seed3!F41)</f>
        <v>49.214375209315918</v>
      </c>
      <c r="K41">
        <f>STDEV(Seed1!I41,Seed2!I41,Seed3!I41)</f>
        <v>54061.458507887117</v>
      </c>
    </row>
    <row r="42" spans="1:11" x14ac:dyDescent="0.45">
      <c r="A42" t="s">
        <v>8</v>
      </c>
      <c r="B42">
        <v>36</v>
      </c>
      <c r="C42" t="s">
        <v>12</v>
      </c>
      <c r="D42">
        <f>AVERAGE(Seed1!D42,Seed2!D42,Seed3!D42)</f>
        <v>0.49720000000000003</v>
      </c>
      <c r="E42">
        <f>AVERAGE(Seed1!E42,Seed2!E42,Seed3!E42)</f>
        <v>743.09029999999996</v>
      </c>
      <c r="F42">
        <f>AVERAGE(Seed1!F42,Seed2!F42,Seed3!F42)</f>
        <v>1553.6886000000002</v>
      </c>
      <c r="G42">
        <f>AVERAGE(Seed1!I42,Seed2!I42,Seed3!I42)</f>
        <v>2170976.6666666665</v>
      </c>
      <c r="H42">
        <f>STDEV(Seed1!D42,Seed2!D42,Seed3!D42)</f>
        <v>5.0119856344566713E-3</v>
      </c>
      <c r="I42">
        <f>STDEV(Seed1!E42,Seed2!E42,Seed3!E42)</f>
        <v>14.518353756194289</v>
      </c>
      <c r="J42">
        <f>STDEV(Seed1!F42,Seed2!F42,Seed3!F42)</f>
        <v>33.145389689065354</v>
      </c>
      <c r="K42">
        <f>STDEV(Seed1!I42,Seed2!I42,Seed3!I42)</f>
        <v>37538.504156843184</v>
      </c>
    </row>
    <row r="43" spans="1:11" x14ac:dyDescent="0.45">
      <c r="A43" t="s">
        <v>8</v>
      </c>
      <c r="B43">
        <v>66</v>
      </c>
      <c r="C43" t="s">
        <v>12</v>
      </c>
      <c r="D43">
        <f>AVERAGE(Seed1!D43,Seed2!D43,Seed3!D43)</f>
        <v>0.41486666666666666</v>
      </c>
      <c r="E43">
        <f>AVERAGE(Seed1!E43,Seed2!E43,Seed3!E43)</f>
        <v>955.72353333333331</v>
      </c>
      <c r="F43">
        <f>AVERAGE(Seed1!F43,Seed2!F43,Seed3!F43)</f>
        <v>1647.9925333333333</v>
      </c>
      <c r="G43">
        <f>AVERAGE(Seed1!I43,Seed2!I43,Seed3!I43)</f>
        <v>2434188.3333333335</v>
      </c>
      <c r="H43">
        <f>STDEV(Seed1!D43,Seed2!D43,Seed3!D43)</f>
        <v>3.5571524191877675E-3</v>
      </c>
      <c r="I43">
        <f>STDEV(Seed1!E43,Seed2!E43,Seed3!E43)</f>
        <v>38.051631466250349</v>
      </c>
      <c r="J43">
        <f>STDEV(Seed1!F43,Seed2!F43,Seed3!F43)</f>
        <v>22.001325769674281</v>
      </c>
      <c r="K43">
        <f>STDEV(Seed1!I43,Seed2!I43,Seed3!I43)</f>
        <v>110215.1028549778</v>
      </c>
    </row>
    <row r="44" spans="1:11" x14ac:dyDescent="0.45">
      <c r="A44" t="s">
        <v>8</v>
      </c>
      <c r="B44">
        <v>96</v>
      </c>
      <c r="C44" t="s">
        <v>12</v>
      </c>
      <c r="D44">
        <f>AVERAGE(Seed1!D44,Seed2!D44,Seed3!D44)</f>
        <v>0.36016666666666669</v>
      </c>
      <c r="E44">
        <f>AVERAGE(Seed1!E44,Seed2!E44,Seed3!E44)</f>
        <v>1217.6824999999999</v>
      </c>
      <c r="F44">
        <f>AVERAGE(Seed1!F44,Seed2!F44,Seed3!F44)</f>
        <v>1659.3396999999998</v>
      </c>
      <c r="G44">
        <f>AVERAGE(Seed1!I44,Seed2!I44,Seed3!I44)</f>
        <v>2463094.3333333335</v>
      </c>
      <c r="H44">
        <f>STDEV(Seed1!D44,Seed2!D44,Seed3!D44)</f>
        <v>6.6040391680647435E-3</v>
      </c>
      <c r="I44">
        <f>STDEV(Seed1!E44,Seed2!E44,Seed3!E44)</f>
        <v>24.42667157166521</v>
      </c>
      <c r="J44">
        <f>STDEV(Seed1!F44,Seed2!F44,Seed3!F44)</f>
        <v>39.126551359786383</v>
      </c>
      <c r="K44">
        <f>STDEV(Seed1!I44,Seed2!I44,Seed3!I44)</f>
        <v>194767.77599318975</v>
      </c>
    </row>
    <row r="45" spans="1:11" x14ac:dyDescent="0.45">
      <c r="A45" t="s">
        <v>8</v>
      </c>
      <c r="B45">
        <v>126</v>
      </c>
      <c r="C45" t="s">
        <v>12</v>
      </c>
      <c r="D45">
        <f>AVERAGE(Seed1!D45,Seed2!D45,Seed3!D45)</f>
        <v>0.33176666666666671</v>
      </c>
      <c r="E45">
        <f>AVERAGE(Seed1!E45,Seed2!E45,Seed3!E45)</f>
        <v>1459.1985999999999</v>
      </c>
      <c r="F45">
        <f>AVERAGE(Seed1!F45,Seed2!F45,Seed3!F45)</f>
        <v>1661.6861666666666</v>
      </c>
      <c r="G45">
        <f>AVERAGE(Seed1!I45,Seed2!I45,Seed3!I45)</f>
        <v>2963036</v>
      </c>
      <c r="H45">
        <f>STDEV(Seed1!D45,Seed2!D45,Seed3!D45)</f>
        <v>9.7705339328684158E-3</v>
      </c>
      <c r="I45">
        <f>STDEV(Seed1!E45,Seed2!E45,Seed3!E45)</f>
        <v>27.980473877867091</v>
      </c>
      <c r="J45">
        <f>STDEV(Seed1!F45,Seed2!F45,Seed3!F45)</f>
        <v>29.757873405257524</v>
      </c>
      <c r="K45">
        <f>STDEV(Seed1!I45,Seed2!I45,Seed3!I45)</f>
        <v>249404.43688715724</v>
      </c>
    </row>
    <row r="46" spans="1:11" x14ac:dyDescent="0.45">
      <c r="A46" t="s">
        <v>8</v>
      </c>
      <c r="B46">
        <v>156</v>
      </c>
      <c r="C46" t="s">
        <v>12</v>
      </c>
      <c r="D46">
        <f>AVERAGE(Seed1!D46,Seed2!D46,Seed3!D46)</f>
        <v>0.30643333333333334</v>
      </c>
      <c r="E46">
        <f>AVERAGE(Seed1!E46,Seed2!E46,Seed3!E46)</f>
        <v>1787.8032333333333</v>
      </c>
      <c r="F46">
        <f>AVERAGE(Seed1!F46,Seed2!F46,Seed3!F46)</f>
        <v>1633.5427</v>
      </c>
      <c r="G46">
        <f>AVERAGE(Seed1!I46,Seed2!I46,Seed3!I46)</f>
        <v>3091135.3333333335</v>
      </c>
      <c r="H46">
        <f>STDEV(Seed1!D46,Seed2!D46,Seed3!D46)</f>
        <v>3.1501322723551223E-3</v>
      </c>
      <c r="I46">
        <f>STDEV(Seed1!E46,Seed2!E46,Seed3!E46)</f>
        <v>33.560045078982398</v>
      </c>
      <c r="J46">
        <f>STDEV(Seed1!F46,Seed2!F46,Seed3!F46)</f>
        <v>34.283370365382758</v>
      </c>
      <c r="K46">
        <f>STDEV(Seed1!I46,Seed2!I46,Seed3!I46)</f>
        <v>198506.61728348839</v>
      </c>
    </row>
    <row r="47" spans="1:11" x14ac:dyDescent="0.45">
      <c r="A47" t="s">
        <v>9</v>
      </c>
      <c r="B47">
        <v>36</v>
      </c>
      <c r="C47" t="s">
        <v>10</v>
      </c>
      <c r="D47">
        <f>AVERAGE(Seed1!D47,Seed2!D47,Seed3!D47)</f>
        <v>0.58416666666666661</v>
      </c>
      <c r="E47">
        <f>AVERAGE(Seed1!E47,Seed2!E47,Seed3!E47)</f>
        <v>0.7001333333333335</v>
      </c>
      <c r="F47">
        <f>AVERAGE(Seed1!F47,Seed2!F47,Seed3!F47)</f>
        <v>2635.4303666666669</v>
      </c>
      <c r="G47">
        <f>AVERAGE(Seed1!I47,Seed2!I47,Seed3!I47)</f>
        <v>1720.3333333333333</v>
      </c>
      <c r="H47">
        <f>STDEV(Seed1!D47,Seed2!D47,Seed3!D47)</f>
        <v>1.8135692248528366E-2</v>
      </c>
      <c r="I47">
        <f>STDEV(Seed1!E47,Seed2!E47,Seed3!E47)</f>
        <v>4.0208249568133819E-2</v>
      </c>
      <c r="J47">
        <f>STDEV(Seed1!F47,Seed2!F47,Seed3!F47)</f>
        <v>115.74508554631296</v>
      </c>
      <c r="K47">
        <f>STDEV(Seed1!I47,Seed2!I47,Seed3!I47)</f>
        <v>6.5064070986477116</v>
      </c>
    </row>
    <row r="48" spans="1:11" x14ac:dyDescent="0.45">
      <c r="A48" t="s">
        <v>9</v>
      </c>
      <c r="B48">
        <v>66</v>
      </c>
      <c r="C48" t="s">
        <v>10</v>
      </c>
      <c r="D48">
        <f>AVERAGE(Seed1!D48,Seed2!D48,Seed3!D48)</f>
        <v>0.65620000000000001</v>
      </c>
      <c r="E48">
        <f>AVERAGE(Seed1!E48,Seed2!E48,Seed3!E48)</f>
        <v>1.0010333333333332</v>
      </c>
      <c r="F48">
        <f>AVERAGE(Seed1!F48,Seed2!F48,Seed3!F48)</f>
        <v>3384.7042000000001</v>
      </c>
      <c r="G48">
        <f>AVERAGE(Seed1!I48,Seed2!I48,Seed3!I48)</f>
        <v>1953.6666666666667</v>
      </c>
      <c r="H48">
        <f>STDEV(Seed1!D48,Seed2!D48,Seed3!D48)</f>
        <v>2.7712812921102193E-3</v>
      </c>
      <c r="I48">
        <f>STDEV(Seed1!E48,Seed2!E48,Seed3!E48)</f>
        <v>6.3129496539520323E-3</v>
      </c>
      <c r="J48">
        <f>STDEV(Seed1!F48,Seed2!F48,Seed3!F48)</f>
        <v>39.95478740864467</v>
      </c>
      <c r="K48">
        <f>STDEV(Seed1!I48,Seed2!I48,Seed3!I48)</f>
        <v>10.016652800877813</v>
      </c>
    </row>
    <row r="49" spans="1:11" x14ac:dyDescent="0.45">
      <c r="A49" t="s">
        <v>9</v>
      </c>
      <c r="B49">
        <v>96</v>
      </c>
      <c r="C49" t="s">
        <v>10</v>
      </c>
      <c r="D49">
        <f>AVERAGE(Seed1!D49,Seed2!D49,Seed3!D49)</f>
        <v>0.69576666666666664</v>
      </c>
      <c r="E49">
        <f>AVERAGE(Seed1!E49,Seed2!E49,Seed3!E49)</f>
        <v>1.3866666666666667</v>
      </c>
      <c r="F49">
        <f>AVERAGE(Seed1!F49,Seed2!F49,Seed3!F49)</f>
        <v>3855.4045000000001</v>
      </c>
      <c r="G49">
        <f>AVERAGE(Seed1!I49,Seed2!I49,Seed3!I49)</f>
        <v>2254</v>
      </c>
      <c r="H49">
        <f>STDEV(Seed1!D49,Seed2!D49,Seed3!D49)</f>
        <v>1.4113941098549819E-2</v>
      </c>
      <c r="I49">
        <f>STDEV(Seed1!E49,Seed2!E49,Seed3!E49)</f>
        <v>6.3319296690135763E-3</v>
      </c>
      <c r="J49">
        <f>STDEV(Seed1!F49,Seed2!F49,Seed3!F49)</f>
        <v>187.46255081778332</v>
      </c>
      <c r="K49">
        <f>STDEV(Seed1!I49,Seed2!I49,Seed3!I49)</f>
        <v>33.719430600174732</v>
      </c>
    </row>
    <row r="50" spans="1:11" x14ac:dyDescent="0.45">
      <c r="A50" t="s">
        <v>9</v>
      </c>
      <c r="B50">
        <v>126</v>
      </c>
      <c r="C50" t="s">
        <v>10</v>
      </c>
      <c r="D50">
        <f>AVERAGE(Seed1!D50,Seed2!D50,Seed3!D50)</f>
        <v>0.74233333333333329</v>
      </c>
      <c r="E50">
        <f>AVERAGE(Seed1!E50,Seed2!E50,Seed3!E50)</f>
        <v>1.8676666666666666</v>
      </c>
      <c r="F50">
        <f>AVERAGE(Seed1!F50,Seed2!F50,Seed3!F50)</f>
        <v>4161.5526333333337</v>
      </c>
      <c r="G50">
        <f>AVERAGE(Seed1!I50,Seed2!I50,Seed3!I50)</f>
        <v>2737.6666666666665</v>
      </c>
      <c r="H50">
        <f>STDEV(Seed1!D50,Seed2!D50,Seed3!D50)</f>
        <v>2.0502032419575668E-3</v>
      </c>
      <c r="I50">
        <f>STDEV(Seed1!E50,Seed2!E50,Seed3!E50)</f>
        <v>3.1773311651971926E-2</v>
      </c>
      <c r="J50">
        <f>STDEV(Seed1!F50,Seed2!F50,Seed3!F50)</f>
        <v>48.841194360123026</v>
      </c>
      <c r="K50">
        <f>STDEV(Seed1!I50,Seed2!I50,Seed3!I50)</f>
        <v>36.963946398258578</v>
      </c>
    </row>
    <row r="51" spans="1:11" x14ac:dyDescent="0.45">
      <c r="A51" t="s">
        <v>9</v>
      </c>
      <c r="B51">
        <v>156</v>
      </c>
      <c r="C51" t="s">
        <v>10</v>
      </c>
      <c r="D51">
        <f>AVERAGE(Seed1!D51,Seed2!D51,Seed3!D51)</f>
        <v>0.73760000000000003</v>
      </c>
      <c r="E51">
        <f>AVERAGE(Seed1!E51,Seed2!E51,Seed3!E51)</f>
        <v>2.5341333333333331</v>
      </c>
      <c r="F51">
        <f>AVERAGE(Seed1!F51,Seed2!F51,Seed3!F51)</f>
        <v>4263.6983</v>
      </c>
      <c r="G51">
        <f>AVERAGE(Seed1!I51,Seed2!I51,Seed3!I51)</f>
        <v>3304.6666666666665</v>
      </c>
      <c r="H51">
        <f>STDEV(Seed1!D51,Seed2!D51,Seed3!D51)</f>
        <v>1.2264990827554653E-2</v>
      </c>
      <c r="I51">
        <f>STDEV(Seed1!E51,Seed2!E51,Seed3!E51)</f>
        <v>8.7622904159433801E-2</v>
      </c>
      <c r="J51">
        <f>STDEV(Seed1!F51,Seed2!F51,Seed3!F51)</f>
        <v>92.114561872105796</v>
      </c>
      <c r="K51">
        <f>STDEV(Seed1!I51,Seed2!I51,Seed3!I51)</f>
        <v>56.756791076780701</v>
      </c>
    </row>
    <row r="52" spans="1:11" x14ac:dyDescent="0.45">
      <c r="A52" t="s">
        <v>9</v>
      </c>
      <c r="B52">
        <v>36</v>
      </c>
      <c r="C52" t="s">
        <v>11</v>
      </c>
      <c r="D52">
        <f>AVERAGE(Seed1!D52,Seed2!D52,Seed3!D52)</f>
        <v>0.59740000000000004</v>
      </c>
      <c r="E52">
        <f>AVERAGE(Seed1!E52,Seed2!E52,Seed3!E52)</f>
        <v>0.68966666666666665</v>
      </c>
      <c r="F52">
        <f>AVERAGE(Seed1!F52,Seed2!F52,Seed3!F52)</f>
        <v>2739.5080000000003</v>
      </c>
      <c r="G52">
        <f>AVERAGE(Seed1!I52,Seed2!I52,Seed3!I52)</f>
        <v>3803</v>
      </c>
      <c r="H52">
        <f>STDEV(Seed1!D52,Seed2!D52,Seed3!D52)</f>
        <v>2.7712812921102188E-3</v>
      </c>
      <c r="I52">
        <f>STDEV(Seed1!E52,Seed2!E52,Seed3!E52)</f>
        <v>3.1683802381237851E-2</v>
      </c>
      <c r="J52">
        <f>STDEV(Seed1!F52,Seed2!F52,Seed3!F52)</f>
        <v>96.28086675991247</v>
      </c>
      <c r="K52">
        <f>STDEV(Seed1!I52,Seed2!I52,Seed3!I52)</f>
        <v>62.745517768203968</v>
      </c>
    </row>
    <row r="53" spans="1:11" x14ac:dyDescent="0.45">
      <c r="A53" t="s">
        <v>9</v>
      </c>
      <c r="B53">
        <v>66</v>
      </c>
      <c r="C53" t="s">
        <v>11</v>
      </c>
      <c r="D53">
        <f>AVERAGE(Seed1!D53,Seed2!D53,Seed3!D53)</f>
        <v>0.68340000000000012</v>
      </c>
      <c r="E53">
        <f>AVERAGE(Seed1!E53,Seed2!E53,Seed3!E53)</f>
        <v>0.9675666666666668</v>
      </c>
      <c r="F53">
        <f>AVERAGE(Seed1!F53,Seed2!F53,Seed3!F53)</f>
        <v>3562.6915333333332</v>
      </c>
      <c r="G53">
        <f>AVERAGE(Seed1!I53,Seed2!I53,Seed3!I53)</f>
        <v>4379</v>
      </c>
      <c r="H53">
        <f>STDEV(Seed1!D53,Seed2!D53,Seed3!D53)</f>
        <v>5.9556695677312485E-3</v>
      </c>
      <c r="I53">
        <f>STDEV(Seed1!E53,Seed2!E53,Seed3!E53)</f>
        <v>5.7002923901615585E-3</v>
      </c>
      <c r="J53">
        <f>STDEV(Seed1!F53,Seed2!F53,Seed3!F53)</f>
        <v>27.101370119669671</v>
      </c>
      <c r="K53">
        <f>STDEV(Seed1!I53,Seed2!I53,Seed3!I53)</f>
        <v>15.524174696260024</v>
      </c>
    </row>
    <row r="54" spans="1:11" x14ac:dyDescent="0.45">
      <c r="A54" t="s">
        <v>9</v>
      </c>
      <c r="B54">
        <v>96</v>
      </c>
      <c r="C54" t="s">
        <v>11</v>
      </c>
      <c r="D54">
        <f>AVERAGE(Seed1!D54,Seed2!D54,Seed3!D54)</f>
        <v>0.73376666666666679</v>
      </c>
      <c r="E54">
        <f>AVERAGE(Seed1!E54,Seed2!E54,Seed3!E54)</f>
        <v>1.3294333333333335</v>
      </c>
      <c r="F54">
        <f>AVERAGE(Seed1!F54,Seed2!F54,Seed3!F54)</f>
        <v>4065.1395666666667</v>
      </c>
      <c r="G54">
        <f>AVERAGE(Seed1!I54,Seed2!I54,Seed3!I54)</f>
        <v>5177.333333333333</v>
      </c>
      <c r="H54">
        <f>STDEV(Seed1!D54,Seed2!D54,Seed3!D54)</f>
        <v>4.2770706486254624E-3</v>
      </c>
      <c r="I54">
        <f>STDEV(Seed1!E54,Seed2!E54,Seed3!E54)</f>
        <v>4.4760734280542516E-2</v>
      </c>
      <c r="J54">
        <f>STDEV(Seed1!F54,Seed2!F54,Seed3!F54)</f>
        <v>58.377658636702321</v>
      </c>
      <c r="K54">
        <f>STDEV(Seed1!I54,Seed2!I54,Seed3!I54)</f>
        <v>86.431090085300525</v>
      </c>
    </row>
    <row r="55" spans="1:11" x14ac:dyDescent="0.45">
      <c r="A55" t="s">
        <v>9</v>
      </c>
      <c r="B55">
        <v>126</v>
      </c>
      <c r="C55" t="s">
        <v>11</v>
      </c>
      <c r="D55">
        <f>AVERAGE(Seed1!D55,Seed2!D55,Seed3!D55)</f>
        <v>0.77926666666666666</v>
      </c>
      <c r="E55">
        <f>AVERAGE(Seed1!E55,Seed2!E55,Seed3!E55)</f>
        <v>1.7952333333333332</v>
      </c>
      <c r="F55">
        <f>AVERAGE(Seed1!F55,Seed2!F55,Seed3!F55)</f>
        <v>4272.5403333333334</v>
      </c>
      <c r="G55">
        <f>AVERAGE(Seed1!I55,Seed2!I55,Seed3!I55)</f>
        <v>6272</v>
      </c>
      <c r="H55">
        <f>STDEV(Seed1!D55,Seed2!D55,Seed3!D55)</f>
        <v>2.8183919765237121E-3</v>
      </c>
      <c r="I55">
        <f>STDEV(Seed1!E55,Seed2!E55,Seed3!E55)</f>
        <v>1.3147369825685061E-2</v>
      </c>
      <c r="J55">
        <f>STDEV(Seed1!F55,Seed2!F55,Seed3!F55)</f>
        <v>68.387899836252998</v>
      </c>
      <c r="K55">
        <f>STDEV(Seed1!I55,Seed2!I55,Seed3!I55)</f>
        <v>47.822588804873369</v>
      </c>
    </row>
    <row r="56" spans="1:11" x14ac:dyDescent="0.45">
      <c r="A56" t="s">
        <v>9</v>
      </c>
      <c r="B56">
        <v>156</v>
      </c>
      <c r="C56" t="s">
        <v>11</v>
      </c>
      <c r="D56">
        <f>AVERAGE(Seed1!D56,Seed2!D56,Seed3!D56)</f>
        <v>0.77506666666666668</v>
      </c>
      <c r="E56">
        <f>AVERAGE(Seed1!E56,Seed2!E56,Seed3!E56)</f>
        <v>2.4840666666666666</v>
      </c>
      <c r="F56">
        <f>AVERAGE(Seed1!F56,Seed2!F56,Seed3!F56)</f>
        <v>4520.3741666666665</v>
      </c>
      <c r="G56">
        <f>AVERAGE(Seed1!I56,Seed2!I56,Seed3!I56)</f>
        <v>7700.333333333333</v>
      </c>
      <c r="H56">
        <f>STDEV(Seed1!D56,Seed2!D56,Seed3!D56)</f>
        <v>1.0454823448214344E-2</v>
      </c>
      <c r="I56">
        <f>STDEV(Seed1!E56,Seed2!E56,Seed3!E56)</f>
        <v>7.5814070813625026E-2</v>
      </c>
      <c r="J56">
        <f>STDEV(Seed1!F56,Seed2!F56,Seed3!F56)</f>
        <v>85.723965940472524</v>
      </c>
      <c r="K56">
        <f>STDEV(Seed1!I56,Seed2!I56,Seed3!I56)</f>
        <v>118.29764720117359</v>
      </c>
    </row>
    <row r="57" spans="1:11" x14ac:dyDescent="0.45">
      <c r="A57" t="s">
        <v>9</v>
      </c>
      <c r="B57">
        <v>36</v>
      </c>
      <c r="C57" t="s">
        <v>12</v>
      </c>
      <c r="D57">
        <f>AVERAGE(Seed1!D57,Seed2!D57,Seed3!D57)</f>
        <v>0.61383333333333334</v>
      </c>
      <c r="E57">
        <f>AVERAGE(Seed1!E57,Seed2!E57,Seed3!E57)</f>
        <v>0.7083666666666667</v>
      </c>
      <c r="F57">
        <f>AVERAGE(Seed1!F57,Seed2!F57,Seed3!F57)</f>
        <v>2799.6294333333331</v>
      </c>
      <c r="G57">
        <f>AVERAGE(Seed1!I57,Seed2!I57,Seed3!I57)</f>
        <v>8058.333333333333</v>
      </c>
      <c r="H57">
        <f>STDEV(Seed1!D57,Seed2!D57,Seed3!D57)</f>
        <v>3.9272551907577205E-3</v>
      </c>
      <c r="I57">
        <f>STDEV(Seed1!E57,Seed2!E57,Seed3!E57)</f>
        <v>2.1126602503321119E-2</v>
      </c>
      <c r="J57">
        <f>STDEV(Seed1!F57,Seed2!F57,Seed3!F57)</f>
        <v>25.384179106154413</v>
      </c>
      <c r="K57">
        <f>STDEV(Seed1!I57,Seed2!I57,Seed3!I57)</f>
        <v>71.675193291217113</v>
      </c>
    </row>
    <row r="58" spans="1:11" x14ac:dyDescent="0.45">
      <c r="A58" t="s">
        <v>9</v>
      </c>
      <c r="B58">
        <v>66</v>
      </c>
      <c r="C58" t="s">
        <v>12</v>
      </c>
      <c r="D58">
        <f>AVERAGE(Seed1!D58,Seed2!D58,Seed3!D58)</f>
        <v>0.69343333333333346</v>
      </c>
      <c r="E58">
        <f>AVERAGE(Seed1!E58,Seed2!E58,Seed3!E58)</f>
        <v>0.94930000000000003</v>
      </c>
      <c r="F58">
        <f>AVERAGE(Seed1!F58,Seed2!F58,Seed3!F58)</f>
        <v>3632.0579666666672</v>
      </c>
      <c r="G58">
        <f>AVERAGE(Seed1!I58,Seed2!I58,Seed3!I58)</f>
        <v>9234</v>
      </c>
      <c r="H58">
        <f>STDEV(Seed1!D58,Seed2!D58,Seed3!D58)</f>
        <v>4.9702447961175646E-3</v>
      </c>
      <c r="I58">
        <f>STDEV(Seed1!E58,Seed2!E58,Seed3!E58)</f>
        <v>3.5280022675729716E-2</v>
      </c>
      <c r="J58">
        <f>STDEV(Seed1!F58,Seed2!F58,Seed3!F58)</f>
        <v>44.99052885056296</v>
      </c>
      <c r="K58">
        <f>STDEV(Seed1!I58,Seed2!I58,Seed3!I58)</f>
        <v>119.46547618454463</v>
      </c>
    </row>
    <row r="59" spans="1:11" x14ac:dyDescent="0.45">
      <c r="A59" t="s">
        <v>9</v>
      </c>
      <c r="B59">
        <v>96</v>
      </c>
      <c r="C59" t="s">
        <v>12</v>
      </c>
      <c r="D59">
        <f>AVERAGE(Seed1!D59,Seed2!D59,Seed3!D59)</f>
        <v>0.75196666666666667</v>
      </c>
      <c r="E59">
        <f>AVERAGE(Seed1!E59,Seed2!E59,Seed3!E59)</f>
        <v>1.3082333333333334</v>
      </c>
      <c r="F59">
        <f>AVERAGE(Seed1!F59,Seed2!F59,Seed3!F59)</f>
        <v>4167.8841000000002</v>
      </c>
      <c r="G59">
        <f>AVERAGE(Seed1!I59,Seed2!I59,Seed3!I59)</f>
        <v>10989.666666666666</v>
      </c>
      <c r="H59">
        <f>STDEV(Seed1!D59,Seed2!D59,Seed3!D59)</f>
        <v>4.1669333248005296E-3</v>
      </c>
      <c r="I59">
        <f>STDEV(Seed1!E59,Seed2!E59,Seed3!E59)</f>
        <v>8.3864970836051598E-4</v>
      </c>
      <c r="J59">
        <f>STDEV(Seed1!F59,Seed2!F59,Seed3!F59)</f>
        <v>26.788791527801404</v>
      </c>
      <c r="K59">
        <f>STDEV(Seed1!I59,Seed2!I59,Seed3!I59)</f>
        <v>27.319101986217142</v>
      </c>
    </row>
    <row r="60" spans="1:11" x14ac:dyDescent="0.45">
      <c r="A60" t="s">
        <v>9</v>
      </c>
      <c r="B60">
        <v>126</v>
      </c>
      <c r="C60" t="s">
        <v>12</v>
      </c>
      <c r="D60">
        <f>AVERAGE(Seed1!D60,Seed2!D60,Seed3!D60)</f>
        <v>0.79720000000000002</v>
      </c>
      <c r="E60">
        <f>AVERAGE(Seed1!E60,Seed2!E60,Seed3!E60)</f>
        <v>1.8231666666666666</v>
      </c>
      <c r="F60">
        <f>AVERAGE(Seed1!F60,Seed2!F60,Seed3!F60)</f>
        <v>4410.8392999999996</v>
      </c>
      <c r="G60">
        <f>AVERAGE(Seed1!I60,Seed2!I60,Seed3!I60)</f>
        <v>13600</v>
      </c>
      <c r="H60">
        <f>STDEV(Seed1!D60,Seed2!D60,Seed3!D60)</f>
        <v>4.9386232899462671E-3</v>
      </c>
      <c r="I60">
        <f>STDEV(Seed1!E60,Seed2!E60,Seed3!E60)</f>
        <v>2.0756284188971161E-2</v>
      </c>
      <c r="J60">
        <f>STDEV(Seed1!F60,Seed2!F60,Seed3!F60)</f>
        <v>55.724204544883747</v>
      </c>
      <c r="K60">
        <f>STDEV(Seed1!I60,Seed2!I60,Seed3!I60)</f>
        <v>123.01625908797584</v>
      </c>
    </row>
    <row r="61" spans="1:11" x14ac:dyDescent="0.45">
      <c r="A61" t="s">
        <v>9</v>
      </c>
      <c r="B61">
        <v>156</v>
      </c>
      <c r="C61" t="s">
        <v>12</v>
      </c>
      <c r="D61">
        <f>AVERAGE(Seed1!D61,Seed2!D61,Seed3!D61)</f>
        <v>0.80370000000000008</v>
      </c>
      <c r="E61">
        <f>AVERAGE(Seed1!E61,Seed2!E61,Seed3!E61)</f>
        <v>2.4566333333333334</v>
      </c>
      <c r="F61">
        <f>AVERAGE(Seed1!F61,Seed2!F61,Seed3!F61)</f>
        <v>4680.0385999999999</v>
      </c>
      <c r="G61">
        <f>AVERAGE(Seed1!I61,Seed2!I61,Seed3!I61)</f>
        <v>16554.666666666668</v>
      </c>
      <c r="H61">
        <f>STDEV(Seed1!D61,Seed2!D61,Seed3!D61)</f>
        <v>2.9444863728670875E-3</v>
      </c>
      <c r="I61">
        <f>STDEV(Seed1!E61,Seed2!E61,Seed3!E61)</f>
        <v>1.7042984871592757E-2</v>
      </c>
      <c r="J61">
        <f>STDEV(Seed1!F61,Seed2!F61,Seed3!F61)</f>
        <v>87.019539071578777</v>
      </c>
      <c r="K61">
        <f>STDEV(Seed1!I61,Seed2!I61,Seed3!I61)</f>
        <v>63.406098550008053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Seed1</vt:lpstr>
      <vt:lpstr>Seed2</vt:lpstr>
      <vt:lpstr>Seed3</vt:lpstr>
      <vt:lpstr>RouterComparisonAverages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Schindlegger</dc:creator>
  <cp:lastModifiedBy>Frederick Schindlegger</cp:lastModifiedBy>
  <dcterms:created xsi:type="dcterms:W3CDTF">2023-06-29T16:43:04Z</dcterms:created>
  <dcterms:modified xsi:type="dcterms:W3CDTF">2023-07-02T10:38:41Z</dcterms:modified>
</cp:coreProperties>
</file>